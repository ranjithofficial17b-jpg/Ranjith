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4c9972db10da5c/Desktop/Sales Performance Analysis/Excel/"/>
    </mc:Choice>
  </mc:AlternateContent>
  <xr:revisionPtr revIDLastSave="2" documentId="8_{D9418999-D464-4C62-8F21-4EDBE2367BCE}" xr6:coauthVersionLast="47" xr6:coauthVersionMax="47" xr10:uidLastSave="{DBAD7501-D782-4616-A42C-1C1FA109E394}"/>
  <bookViews>
    <workbookView minimized="1" xWindow="10428" yWindow="0" windowWidth="10200" windowHeight="12240" firstSheet="1" activeTab="3" xr2:uid="{DA90629C-B044-46AB-ABB7-17A85E33EC5C}"/>
  </bookViews>
  <sheets>
    <sheet name="Monthly sales" sheetId="2" r:id="rId1"/>
    <sheet name="Top products" sheetId="3" r:id="rId2"/>
    <sheet name="Top Region" sheetId="4" r:id="rId3"/>
    <sheet name="Sales Dashboard" sheetId="6" r:id="rId4"/>
    <sheet name="Monthly Profit Analysis" sheetId="5" r:id="rId5"/>
    <sheet name="Sales data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9" i="1"/>
  <c r="L31" i="1"/>
  <c r="L33" i="1"/>
  <c r="L55" i="1"/>
  <c r="L103" i="1"/>
  <c r="L105" i="1"/>
  <c r="L117" i="1"/>
  <c r="L129" i="1"/>
  <c r="L138" i="1"/>
  <c r="L139" i="1"/>
  <c r="L151" i="1"/>
  <c r="L162" i="1"/>
  <c r="L163" i="1"/>
  <c r="L165" i="1"/>
  <c r="L177" i="1"/>
  <c r="L199" i="1"/>
  <c r="L213" i="1"/>
  <c r="L218" i="1"/>
  <c r="L235" i="1"/>
  <c r="L242" i="1"/>
  <c r="L247" i="1"/>
  <c r="L259" i="1"/>
  <c r="L261" i="1"/>
  <c r="L271" i="1"/>
  <c r="L273" i="1"/>
  <c r="L295" i="1"/>
  <c r="L319" i="1"/>
  <c r="L343" i="1"/>
  <c r="L345" i="1"/>
  <c r="L354" i="1"/>
  <c r="L367" i="1"/>
  <c r="L369" i="1"/>
  <c r="L379" i="1"/>
  <c r="L386" i="1"/>
  <c r="L393" i="1"/>
  <c r="L402" i="1"/>
  <c r="L414" i="1"/>
  <c r="L415" i="1"/>
  <c r="L417" i="1"/>
  <c r="L427" i="1"/>
  <c r="L435" i="1"/>
  <c r="L441" i="1"/>
  <c r="L451" i="1"/>
  <c r="L463" i="1"/>
  <c r="L474" i="1"/>
  <c r="L482" i="1"/>
  <c r="L499" i="1"/>
  <c r="K7" i="1"/>
  <c r="L7" i="1" s="1"/>
  <c r="K18" i="1"/>
  <c r="L18" i="1" s="1"/>
  <c r="K20" i="1"/>
  <c r="L20" i="1" s="1"/>
  <c r="K21" i="1"/>
  <c r="L21" i="1" s="1"/>
  <c r="K22" i="1"/>
  <c r="L22" i="1" s="1"/>
  <c r="K31" i="1"/>
  <c r="K32" i="1"/>
  <c r="L32" i="1" s="1"/>
  <c r="K35" i="1"/>
  <c r="L35" i="1" s="1"/>
  <c r="K42" i="1"/>
  <c r="L42" i="1" s="1"/>
  <c r="K44" i="1"/>
  <c r="L44" i="1" s="1"/>
  <c r="K45" i="1"/>
  <c r="L45" i="1" s="1"/>
  <c r="K54" i="1"/>
  <c r="L54" i="1" s="1"/>
  <c r="K57" i="1"/>
  <c r="L57" i="1" s="1"/>
  <c r="K59" i="1"/>
  <c r="L59" i="1" s="1"/>
  <c r="K66" i="1"/>
  <c r="L66" i="1" s="1"/>
  <c r="K67" i="1"/>
  <c r="L67" i="1" s="1"/>
  <c r="K68" i="1"/>
  <c r="L68" i="1" s="1"/>
  <c r="K69" i="1"/>
  <c r="L69" i="1" s="1"/>
  <c r="K78" i="1"/>
  <c r="L78" i="1" s="1"/>
  <c r="K79" i="1"/>
  <c r="L79" i="1" s="1"/>
  <c r="K80" i="1"/>
  <c r="L80" i="1" s="1"/>
  <c r="K81" i="1"/>
  <c r="L81" i="1" s="1"/>
  <c r="K83" i="1"/>
  <c r="L83" i="1" s="1"/>
  <c r="K92" i="1"/>
  <c r="L92" i="1" s="1"/>
  <c r="K93" i="1"/>
  <c r="L93" i="1" s="1"/>
  <c r="K95" i="1"/>
  <c r="L95" i="1" s="1"/>
  <c r="K104" i="1"/>
  <c r="L104" i="1" s="1"/>
  <c r="K107" i="1"/>
  <c r="L107" i="1" s="1"/>
  <c r="K115" i="1"/>
  <c r="L115" i="1" s="1"/>
  <c r="K116" i="1"/>
  <c r="L116" i="1" s="1"/>
  <c r="K126" i="1"/>
  <c r="L126" i="1" s="1"/>
  <c r="K127" i="1"/>
  <c r="L127" i="1" s="1"/>
  <c r="K128" i="1"/>
  <c r="L128" i="1" s="1"/>
  <c r="K129" i="1"/>
  <c r="K131" i="1"/>
  <c r="L131" i="1" s="1"/>
  <c r="K139" i="1"/>
  <c r="K140" i="1"/>
  <c r="L140" i="1" s="1"/>
  <c r="K141" i="1"/>
  <c r="L141" i="1" s="1"/>
  <c r="K143" i="1"/>
  <c r="L143" i="1" s="1"/>
  <c r="K152" i="1"/>
  <c r="L152" i="1" s="1"/>
  <c r="K155" i="1"/>
  <c r="L155" i="1" s="1"/>
  <c r="K162" i="1"/>
  <c r="K164" i="1"/>
  <c r="L164" i="1" s="1"/>
  <c r="K167" i="1"/>
  <c r="L167" i="1" s="1"/>
  <c r="K175" i="1"/>
  <c r="L175" i="1" s="1"/>
  <c r="K176" i="1"/>
  <c r="L176" i="1" s="1"/>
  <c r="K179" i="1"/>
  <c r="L179" i="1" s="1"/>
  <c r="K186" i="1"/>
  <c r="L186" i="1" s="1"/>
  <c r="K187" i="1"/>
  <c r="L187" i="1" s="1"/>
  <c r="K188" i="1"/>
  <c r="L188" i="1" s="1"/>
  <c r="K189" i="1"/>
  <c r="L189" i="1" s="1"/>
  <c r="K190" i="1"/>
  <c r="L190" i="1" s="1"/>
  <c r="K199" i="1"/>
  <c r="K200" i="1"/>
  <c r="L200" i="1" s="1"/>
  <c r="K201" i="1"/>
  <c r="L201" i="1" s="1"/>
  <c r="K203" i="1"/>
  <c r="L203" i="1" s="1"/>
  <c r="K210" i="1"/>
  <c r="L210" i="1" s="1"/>
  <c r="K211" i="1"/>
  <c r="L211" i="1" s="1"/>
  <c r="K222" i="1"/>
  <c r="L222" i="1" s="1"/>
  <c r="K223" i="1"/>
  <c r="L223" i="1" s="1"/>
  <c r="K224" i="1"/>
  <c r="L224" i="1" s="1"/>
  <c r="K225" i="1"/>
  <c r="L225" i="1" s="1"/>
  <c r="K236" i="1"/>
  <c r="L236" i="1" s="1"/>
  <c r="K237" i="1"/>
  <c r="L237" i="1" s="1"/>
  <c r="K239" i="1"/>
  <c r="L239" i="1" s="1"/>
  <c r="K246" i="1"/>
  <c r="L246" i="1" s="1"/>
  <c r="K248" i="1"/>
  <c r="L248" i="1" s="1"/>
  <c r="K250" i="1"/>
  <c r="L250" i="1" s="1"/>
  <c r="K251" i="1"/>
  <c r="L251" i="1" s="1"/>
  <c r="K261" i="1"/>
  <c r="K270" i="1"/>
  <c r="L270" i="1" s="1"/>
  <c r="K271" i="1"/>
  <c r="K272" i="1"/>
  <c r="L272" i="1" s="1"/>
  <c r="K273" i="1"/>
  <c r="K283" i="1"/>
  <c r="L283" i="1" s="1"/>
  <c r="K284" i="1"/>
  <c r="L284" i="1" s="1"/>
  <c r="K285" i="1"/>
  <c r="L285" i="1" s="1"/>
  <c r="K287" i="1"/>
  <c r="L287" i="1" s="1"/>
  <c r="K294" i="1"/>
  <c r="L294" i="1" s="1"/>
  <c r="K296" i="1"/>
  <c r="L296" i="1" s="1"/>
  <c r="K297" i="1"/>
  <c r="L297" i="1" s="1"/>
  <c r="K299" i="1"/>
  <c r="L299" i="1" s="1"/>
  <c r="K309" i="1"/>
  <c r="L309" i="1" s="1"/>
  <c r="K311" i="1"/>
  <c r="L311" i="1" s="1"/>
  <c r="K319" i="1"/>
  <c r="K320" i="1"/>
  <c r="L320" i="1" s="1"/>
  <c r="K330" i="1"/>
  <c r="L330" i="1" s="1"/>
  <c r="K331" i="1"/>
  <c r="L331" i="1" s="1"/>
  <c r="K332" i="1"/>
  <c r="L332" i="1" s="1"/>
  <c r="K333" i="1"/>
  <c r="L333" i="1" s="1"/>
  <c r="K343" i="1"/>
  <c r="K344" i="1"/>
  <c r="L344" i="1" s="1"/>
  <c r="K345" i="1"/>
  <c r="K347" i="1"/>
  <c r="L347" i="1" s="1"/>
  <c r="K356" i="1"/>
  <c r="L356" i="1" s="1"/>
  <c r="K358" i="1"/>
  <c r="L358" i="1" s="1"/>
  <c r="K359" i="1"/>
  <c r="L359" i="1" s="1"/>
  <c r="K367" i="1"/>
  <c r="K368" i="1"/>
  <c r="L368" i="1" s="1"/>
  <c r="K371" i="1"/>
  <c r="L371" i="1" s="1"/>
  <c r="K378" i="1"/>
  <c r="L378" i="1" s="1"/>
  <c r="K380" i="1"/>
  <c r="L380" i="1" s="1"/>
  <c r="K383" i="1"/>
  <c r="L383" i="1" s="1"/>
  <c r="K390" i="1"/>
  <c r="L390" i="1" s="1"/>
  <c r="K391" i="1"/>
  <c r="L391" i="1" s="1"/>
  <c r="K392" i="1"/>
  <c r="L392" i="1" s="1"/>
  <c r="K394" i="1"/>
  <c r="L394" i="1" s="1"/>
  <c r="K395" i="1"/>
  <c r="L395" i="1" s="1"/>
  <c r="K404" i="1"/>
  <c r="L404" i="1" s="1"/>
  <c r="K414" i="1"/>
  <c r="K415" i="1"/>
  <c r="K427" i="1"/>
  <c r="K428" i="1"/>
  <c r="L428" i="1" s="1"/>
  <c r="K429" i="1"/>
  <c r="L429" i="1" s="1"/>
  <c r="K434" i="1"/>
  <c r="L434" i="1" s="1"/>
  <c r="K438" i="1"/>
  <c r="L438" i="1" s="1"/>
  <c r="K439" i="1"/>
  <c r="L439" i="1" s="1"/>
  <c r="K440" i="1"/>
  <c r="L440" i="1" s="1"/>
  <c r="K441" i="1"/>
  <c r="K443" i="1"/>
  <c r="L443" i="1" s="1"/>
  <c r="K450" i="1"/>
  <c r="L450" i="1" s="1"/>
  <c r="K452" i="1"/>
  <c r="L452" i="1" s="1"/>
  <c r="K453" i="1"/>
  <c r="L453" i="1" s="1"/>
  <c r="K454" i="1"/>
  <c r="L454" i="1" s="1"/>
  <c r="K455" i="1"/>
  <c r="L455" i="1" s="1"/>
  <c r="K458" i="1"/>
  <c r="L458" i="1" s="1"/>
  <c r="K474" i="1"/>
  <c r="K475" i="1"/>
  <c r="L475" i="1" s="1"/>
  <c r="K476" i="1"/>
  <c r="L476" i="1" s="1"/>
  <c r="K477" i="1"/>
  <c r="L477" i="1" s="1"/>
  <c r="K487" i="1"/>
  <c r="L487" i="1" s="1"/>
  <c r="K488" i="1"/>
  <c r="L488" i="1" s="1"/>
  <c r="K489" i="1"/>
  <c r="L489" i="1" s="1"/>
  <c r="K491" i="1"/>
  <c r="L491" i="1" s="1"/>
  <c r="K498" i="1"/>
  <c r="L498" i="1" s="1"/>
  <c r="K500" i="1"/>
  <c r="L500" i="1" s="1"/>
  <c r="K501" i="1"/>
  <c r="L501" i="1" s="1"/>
  <c r="J3" i="1"/>
  <c r="J4" i="1"/>
  <c r="J5" i="1"/>
  <c r="J6" i="1"/>
  <c r="J7" i="1"/>
  <c r="J8" i="1"/>
  <c r="K8" i="1" s="1"/>
  <c r="L8" i="1" s="1"/>
  <c r="J9" i="1"/>
  <c r="J10" i="1"/>
  <c r="J11" i="1"/>
  <c r="K11" i="1" s="1"/>
  <c r="L11" i="1" s="1"/>
  <c r="J12" i="1"/>
  <c r="J13" i="1"/>
  <c r="K13" i="1" s="1"/>
  <c r="L13" i="1" s="1"/>
  <c r="J14" i="1"/>
  <c r="J15" i="1"/>
  <c r="J16" i="1"/>
  <c r="J17" i="1"/>
  <c r="J18" i="1"/>
  <c r="J19" i="1"/>
  <c r="J20" i="1"/>
  <c r="J21" i="1"/>
  <c r="J22" i="1"/>
  <c r="J23" i="1"/>
  <c r="K23" i="1" s="1"/>
  <c r="L23" i="1" s="1"/>
  <c r="J24" i="1"/>
  <c r="J25" i="1"/>
  <c r="J26" i="1"/>
  <c r="J27" i="1"/>
  <c r="J28" i="1"/>
  <c r="J29" i="1"/>
  <c r="J30" i="1"/>
  <c r="J31" i="1"/>
  <c r="J32" i="1"/>
  <c r="J33" i="1"/>
  <c r="J34" i="1"/>
  <c r="K34" i="1" s="1"/>
  <c r="L34" i="1" s="1"/>
  <c r="J35" i="1"/>
  <c r="J36" i="1"/>
  <c r="J37" i="1"/>
  <c r="K37" i="1" s="1"/>
  <c r="L37" i="1" s="1"/>
  <c r="J38" i="1"/>
  <c r="J39" i="1"/>
  <c r="J40" i="1"/>
  <c r="J41" i="1"/>
  <c r="J42" i="1"/>
  <c r="J43" i="1"/>
  <c r="J44" i="1"/>
  <c r="J45" i="1"/>
  <c r="J46" i="1"/>
  <c r="K46" i="1" s="1"/>
  <c r="L46" i="1" s="1"/>
  <c r="J47" i="1"/>
  <c r="K47" i="1" s="1"/>
  <c r="L47" i="1" s="1"/>
  <c r="J48" i="1"/>
  <c r="J49" i="1"/>
  <c r="K49" i="1" s="1"/>
  <c r="L49" i="1" s="1"/>
  <c r="J50" i="1"/>
  <c r="J51" i="1"/>
  <c r="J52" i="1"/>
  <c r="J53" i="1"/>
  <c r="J54" i="1"/>
  <c r="J55" i="1"/>
  <c r="J56" i="1"/>
  <c r="K56" i="1" s="1"/>
  <c r="L56" i="1" s="1"/>
  <c r="J57" i="1"/>
  <c r="J58" i="1"/>
  <c r="J59" i="1"/>
  <c r="J60" i="1"/>
  <c r="J61" i="1"/>
  <c r="K61" i="1" s="1"/>
  <c r="L61" i="1" s="1"/>
  <c r="J62" i="1"/>
  <c r="J63" i="1"/>
  <c r="J64" i="1"/>
  <c r="J65" i="1"/>
  <c r="J66" i="1"/>
  <c r="J67" i="1"/>
  <c r="J68" i="1"/>
  <c r="J69" i="1"/>
  <c r="J70" i="1"/>
  <c r="J71" i="1"/>
  <c r="K71" i="1" s="1"/>
  <c r="L71" i="1" s="1"/>
  <c r="J72" i="1"/>
  <c r="J73" i="1"/>
  <c r="K73" i="1" s="1"/>
  <c r="L73" i="1" s="1"/>
  <c r="J74" i="1"/>
  <c r="J75" i="1"/>
  <c r="J76" i="1"/>
  <c r="J77" i="1"/>
  <c r="J78" i="1"/>
  <c r="J79" i="1"/>
  <c r="J80" i="1"/>
  <c r="J81" i="1"/>
  <c r="J82" i="1"/>
  <c r="K82" i="1" s="1"/>
  <c r="L82" i="1" s="1"/>
  <c r="J83" i="1"/>
  <c r="J84" i="1"/>
  <c r="J85" i="1"/>
  <c r="K85" i="1" s="1"/>
  <c r="L85" i="1" s="1"/>
  <c r="J86" i="1"/>
  <c r="J87" i="1"/>
  <c r="J88" i="1"/>
  <c r="J89" i="1"/>
  <c r="J90" i="1"/>
  <c r="J91" i="1"/>
  <c r="J92" i="1"/>
  <c r="J93" i="1"/>
  <c r="J94" i="1"/>
  <c r="J95" i="1"/>
  <c r="J96" i="1"/>
  <c r="J97" i="1"/>
  <c r="K97" i="1" s="1"/>
  <c r="L97" i="1" s="1"/>
  <c r="J98" i="1"/>
  <c r="J99" i="1"/>
  <c r="J100" i="1"/>
  <c r="J101" i="1"/>
  <c r="J102" i="1"/>
  <c r="J103" i="1"/>
  <c r="J104" i="1"/>
  <c r="J105" i="1"/>
  <c r="J106" i="1"/>
  <c r="J107" i="1"/>
  <c r="J108" i="1"/>
  <c r="J109" i="1"/>
  <c r="K109" i="1" s="1"/>
  <c r="L109" i="1" s="1"/>
  <c r="J110" i="1"/>
  <c r="J111" i="1"/>
  <c r="J112" i="1"/>
  <c r="J113" i="1"/>
  <c r="J114" i="1"/>
  <c r="J115" i="1"/>
  <c r="J116" i="1"/>
  <c r="J117" i="1"/>
  <c r="J118" i="1"/>
  <c r="J119" i="1"/>
  <c r="K119" i="1" s="1"/>
  <c r="L119" i="1" s="1"/>
  <c r="J120" i="1"/>
  <c r="J121" i="1"/>
  <c r="K121" i="1" s="1"/>
  <c r="L121" i="1" s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K142" i="1" s="1"/>
  <c r="L142" i="1" s="1"/>
  <c r="J143" i="1"/>
  <c r="J144" i="1"/>
  <c r="J145" i="1"/>
  <c r="K145" i="1" s="1"/>
  <c r="L145" i="1" s="1"/>
  <c r="J146" i="1"/>
  <c r="J147" i="1"/>
  <c r="J148" i="1"/>
  <c r="J149" i="1"/>
  <c r="J150" i="1"/>
  <c r="J151" i="1"/>
  <c r="J152" i="1"/>
  <c r="J153" i="1"/>
  <c r="J154" i="1"/>
  <c r="J155" i="1"/>
  <c r="J156" i="1"/>
  <c r="J157" i="1"/>
  <c r="K157" i="1" s="1"/>
  <c r="L157" i="1" s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K191" i="1" s="1"/>
  <c r="L191" i="1" s="1"/>
  <c r="J192" i="1"/>
  <c r="J193" i="1"/>
  <c r="K193" i="1" s="1"/>
  <c r="L193" i="1" s="1"/>
  <c r="J194" i="1"/>
  <c r="J195" i="1"/>
  <c r="J196" i="1"/>
  <c r="J197" i="1"/>
  <c r="J198" i="1"/>
  <c r="J199" i="1"/>
  <c r="J200" i="1"/>
  <c r="J201" i="1"/>
  <c r="J202" i="1"/>
  <c r="K202" i="1" s="1"/>
  <c r="L202" i="1" s="1"/>
  <c r="J203" i="1"/>
  <c r="J204" i="1"/>
  <c r="J205" i="1"/>
  <c r="K205" i="1" s="1"/>
  <c r="L205" i="1" s="1"/>
  <c r="J206" i="1"/>
  <c r="J207" i="1"/>
  <c r="J208" i="1"/>
  <c r="J209" i="1"/>
  <c r="J210" i="1"/>
  <c r="J211" i="1"/>
  <c r="J212" i="1"/>
  <c r="K212" i="1" s="1"/>
  <c r="L212" i="1" s="1"/>
  <c r="J213" i="1"/>
  <c r="J214" i="1"/>
  <c r="J215" i="1"/>
  <c r="K215" i="1" s="1"/>
  <c r="L215" i="1" s="1"/>
  <c r="J216" i="1"/>
  <c r="J217" i="1"/>
  <c r="K217" i="1" s="1"/>
  <c r="L217" i="1" s="1"/>
  <c r="J218" i="1"/>
  <c r="J219" i="1"/>
  <c r="J220" i="1"/>
  <c r="J221" i="1"/>
  <c r="J222" i="1"/>
  <c r="J223" i="1"/>
  <c r="J224" i="1"/>
  <c r="J225" i="1"/>
  <c r="J226" i="1"/>
  <c r="K226" i="1" s="1"/>
  <c r="L226" i="1" s="1"/>
  <c r="J227" i="1"/>
  <c r="K227" i="1" s="1"/>
  <c r="L227" i="1" s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K241" i="1" s="1"/>
  <c r="L241" i="1" s="1"/>
  <c r="J242" i="1"/>
  <c r="J243" i="1"/>
  <c r="J244" i="1"/>
  <c r="J245" i="1"/>
  <c r="J246" i="1"/>
  <c r="J247" i="1"/>
  <c r="J248" i="1"/>
  <c r="J249" i="1"/>
  <c r="J250" i="1"/>
  <c r="J251" i="1"/>
  <c r="J252" i="1"/>
  <c r="J253" i="1"/>
  <c r="K253" i="1" s="1"/>
  <c r="L253" i="1" s="1"/>
  <c r="J254" i="1"/>
  <c r="J255" i="1"/>
  <c r="J256" i="1"/>
  <c r="J257" i="1"/>
  <c r="J258" i="1"/>
  <c r="J259" i="1"/>
  <c r="J260" i="1"/>
  <c r="K260" i="1" s="1"/>
  <c r="L260" i="1" s="1"/>
  <c r="J261" i="1"/>
  <c r="J262" i="1"/>
  <c r="J263" i="1"/>
  <c r="K263" i="1" s="1"/>
  <c r="L263" i="1" s="1"/>
  <c r="J264" i="1"/>
  <c r="J265" i="1"/>
  <c r="K265" i="1" s="1"/>
  <c r="L265" i="1" s="1"/>
  <c r="J266" i="1"/>
  <c r="J267" i="1"/>
  <c r="J268" i="1"/>
  <c r="J269" i="1"/>
  <c r="J270" i="1"/>
  <c r="J271" i="1"/>
  <c r="J272" i="1"/>
  <c r="J273" i="1"/>
  <c r="J274" i="1"/>
  <c r="J275" i="1"/>
  <c r="K275" i="1" s="1"/>
  <c r="L275" i="1" s="1"/>
  <c r="J276" i="1"/>
  <c r="J277" i="1"/>
  <c r="K277" i="1" s="1"/>
  <c r="L277" i="1" s="1"/>
  <c r="J278" i="1"/>
  <c r="J279" i="1"/>
  <c r="J280" i="1"/>
  <c r="J281" i="1"/>
  <c r="J282" i="1"/>
  <c r="J283" i="1"/>
  <c r="J284" i="1"/>
  <c r="J285" i="1"/>
  <c r="J286" i="1"/>
  <c r="K286" i="1" s="1"/>
  <c r="L286" i="1" s="1"/>
  <c r="J287" i="1"/>
  <c r="J288" i="1"/>
  <c r="J289" i="1"/>
  <c r="K289" i="1" s="1"/>
  <c r="L289" i="1" s="1"/>
  <c r="J290" i="1"/>
  <c r="J291" i="1"/>
  <c r="J292" i="1"/>
  <c r="J293" i="1"/>
  <c r="J294" i="1"/>
  <c r="J295" i="1"/>
  <c r="J296" i="1"/>
  <c r="J297" i="1"/>
  <c r="J298" i="1"/>
  <c r="J299" i="1"/>
  <c r="J300" i="1"/>
  <c r="J301" i="1"/>
  <c r="K301" i="1" s="1"/>
  <c r="L301" i="1" s="1"/>
  <c r="J302" i="1"/>
  <c r="J303" i="1"/>
  <c r="J304" i="1"/>
  <c r="J305" i="1"/>
  <c r="J306" i="1"/>
  <c r="J307" i="1"/>
  <c r="J308" i="1"/>
  <c r="K308" i="1" s="1"/>
  <c r="L308" i="1" s="1"/>
  <c r="J309" i="1"/>
  <c r="J310" i="1"/>
  <c r="J311" i="1"/>
  <c r="J312" i="1"/>
  <c r="J313" i="1"/>
  <c r="K313" i="1" s="1"/>
  <c r="L313" i="1" s="1"/>
  <c r="J314" i="1"/>
  <c r="J315" i="1"/>
  <c r="J316" i="1"/>
  <c r="J317" i="1"/>
  <c r="J318" i="1"/>
  <c r="J319" i="1"/>
  <c r="J320" i="1"/>
  <c r="J321" i="1"/>
  <c r="J322" i="1"/>
  <c r="J323" i="1"/>
  <c r="K323" i="1" s="1"/>
  <c r="L323" i="1" s="1"/>
  <c r="J324" i="1"/>
  <c r="J325" i="1"/>
  <c r="K325" i="1" s="1"/>
  <c r="L325" i="1" s="1"/>
  <c r="J326" i="1"/>
  <c r="J327" i="1"/>
  <c r="J328" i="1"/>
  <c r="J329" i="1"/>
  <c r="J330" i="1"/>
  <c r="J331" i="1"/>
  <c r="J332" i="1"/>
  <c r="J333" i="1"/>
  <c r="J334" i="1"/>
  <c r="K334" i="1" s="1"/>
  <c r="L334" i="1" s="1"/>
  <c r="J335" i="1"/>
  <c r="K335" i="1" s="1"/>
  <c r="L335" i="1" s="1"/>
  <c r="J336" i="1"/>
  <c r="J337" i="1"/>
  <c r="K337" i="1" s="1"/>
  <c r="L337" i="1" s="1"/>
  <c r="J338" i="1"/>
  <c r="J339" i="1"/>
  <c r="J340" i="1"/>
  <c r="J341" i="1"/>
  <c r="J342" i="1"/>
  <c r="J343" i="1"/>
  <c r="J344" i="1"/>
  <c r="J345" i="1"/>
  <c r="J346" i="1"/>
  <c r="K346" i="1" s="1"/>
  <c r="L346" i="1" s="1"/>
  <c r="J347" i="1"/>
  <c r="J348" i="1"/>
  <c r="J349" i="1"/>
  <c r="K349" i="1" s="1"/>
  <c r="L349" i="1" s="1"/>
  <c r="J350" i="1"/>
  <c r="J351" i="1"/>
  <c r="J352" i="1"/>
  <c r="J353" i="1"/>
  <c r="J354" i="1"/>
  <c r="J355" i="1"/>
  <c r="J356" i="1"/>
  <c r="J357" i="1"/>
  <c r="J358" i="1"/>
  <c r="J359" i="1"/>
  <c r="J360" i="1"/>
  <c r="J361" i="1"/>
  <c r="K361" i="1" s="1"/>
  <c r="L361" i="1" s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K382" i="1" s="1"/>
  <c r="L382" i="1" s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K397" i="1" s="1"/>
  <c r="L397" i="1" s="1"/>
  <c r="J398" i="1"/>
  <c r="J399" i="1"/>
  <c r="J400" i="1"/>
  <c r="J401" i="1"/>
  <c r="J402" i="1"/>
  <c r="J403" i="1"/>
  <c r="J404" i="1"/>
  <c r="J405" i="1"/>
  <c r="J406" i="1"/>
  <c r="J407" i="1"/>
  <c r="K407" i="1" s="1"/>
  <c r="L407" i="1" s="1"/>
  <c r="J408" i="1"/>
  <c r="J409" i="1"/>
  <c r="K409" i="1" s="1"/>
  <c r="L409" i="1" s="1"/>
  <c r="J410" i="1"/>
  <c r="J411" i="1"/>
  <c r="J412" i="1"/>
  <c r="J413" i="1"/>
  <c r="J414" i="1"/>
  <c r="J415" i="1"/>
  <c r="J416" i="1"/>
  <c r="K416" i="1" s="1"/>
  <c r="L416" i="1" s="1"/>
  <c r="J417" i="1"/>
  <c r="J418" i="1"/>
  <c r="K418" i="1" s="1"/>
  <c r="L418" i="1" s="1"/>
  <c r="J419" i="1"/>
  <c r="K419" i="1" s="1"/>
  <c r="L419" i="1" s="1"/>
  <c r="J420" i="1"/>
  <c r="J421" i="1"/>
  <c r="K421" i="1" s="1"/>
  <c r="L421" i="1" s="1"/>
  <c r="J422" i="1"/>
  <c r="J423" i="1"/>
  <c r="J424" i="1"/>
  <c r="J425" i="1"/>
  <c r="J426" i="1"/>
  <c r="J427" i="1"/>
  <c r="J428" i="1"/>
  <c r="J429" i="1"/>
  <c r="J430" i="1"/>
  <c r="K430" i="1" s="1"/>
  <c r="L430" i="1" s="1"/>
  <c r="J431" i="1"/>
  <c r="K431" i="1" s="1"/>
  <c r="L431" i="1" s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K445" i="1" s="1"/>
  <c r="L445" i="1" s="1"/>
  <c r="J446" i="1"/>
  <c r="J447" i="1"/>
  <c r="J448" i="1"/>
  <c r="J449" i="1"/>
  <c r="J450" i="1"/>
  <c r="J451" i="1"/>
  <c r="J452" i="1"/>
  <c r="J453" i="1"/>
  <c r="J454" i="1"/>
  <c r="J455" i="1"/>
  <c r="J456" i="1"/>
  <c r="J457" i="1"/>
  <c r="K457" i="1" s="1"/>
  <c r="L457" i="1" s="1"/>
  <c r="J458" i="1"/>
  <c r="J459" i="1"/>
  <c r="J460" i="1"/>
  <c r="J461" i="1"/>
  <c r="J462" i="1"/>
  <c r="J463" i="1"/>
  <c r="J464" i="1"/>
  <c r="K464" i="1" s="1"/>
  <c r="L464" i="1" s="1"/>
  <c r="J465" i="1"/>
  <c r="J466" i="1"/>
  <c r="J467" i="1"/>
  <c r="K467" i="1" s="1"/>
  <c r="L467" i="1" s="1"/>
  <c r="J468" i="1"/>
  <c r="J469" i="1"/>
  <c r="K469" i="1" s="1"/>
  <c r="L469" i="1" s="1"/>
  <c r="J470" i="1"/>
  <c r="J471" i="1"/>
  <c r="J472" i="1"/>
  <c r="J473" i="1"/>
  <c r="J474" i="1"/>
  <c r="J475" i="1"/>
  <c r="J476" i="1"/>
  <c r="J477" i="1"/>
  <c r="J478" i="1"/>
  <c r="J479" i="1"/>
  <c r="K479" i="1" s="1"/>
  <c r="L479" i="1" s="1"/>
  <c r="J480" i="1"/>
  <c r="J481" i="1"/>
  <c r="J482" i="1"/>
  <c r="J483" i="1"/>
  <c r="J484" i="1"/>
  <c r="J485" i="1"/>
  <c r="J486" i="1"/>
  <c r="J487" i="1"/>
  <c r="J488" i="1"/>
  <c r="J489" i="1"/>
  <c r="J490" i="1"/>
  <c r="K490" i="1" s="1"/>
  <c r="L490" i="1" s="1"/>
  <c r="J491" i="1"/>
  <c r="J492" i="1"/>
  <c r="J493" i="1"/>
  <c r="K493" i="1" s="1"/>
  <c r="L493" i="1" s="1"/>
  <c r="J494" i="1"/>
  <c r="J495" i="1"/>
  <c r="J496" i="1"/>
  <c r="J497" i="1"/>
  <c r="J498" i="1"/>
  <c r="J499" i="1"/>
  <c r="J500" i="1"/>
  <c r="J501" i="1"/>
  <c r="J2" i="1"/>
  <c r="I3" i="1"/>
  <c r="I4" i="1"/>
  <c r="K4" i="1" s="1"/>
  <c r="L4" i="1" s="1"/>
  <c r="I5" i="1"/>
  <c r="K5" i="1" s="1"/>
  <c r="L5" i="1" s="1"/>
  <c r="I6" i="1"/>
  <c r="K6" i="1" s="1"/>
  <c r="L6" i="1" s="1"/>
  <c r="I7" i="1"/>
  <c r="I8" i="1"/>
  <c r="I9" i="1"/>
  <c r="K9" i="1" s="1"/>
  <c r="I10" i="1"/>
  <c r="I11" i="1"/>
  <c r="I12" i="1"/>
  <c r="I13" i="1"/>
  <c r="I14" i="1"/>
  <c r="K14" i="1" s="1"/>
  <c r="L14" i="1" s="1"/>
  <c r="I15" i="1"/>
  <c r="I16" i="1"/>
  <c r="K16" i="1" s="1"/>
  <c r="L16" i="1" s="1"/>
  <c r="I17" i="1"/>
  <c r="K17" i="1" s="1"/>
  <c r="L17" i="1" s="1"/>
  <c r="I18" i="1"/>
  <c r="I19" i="1"/>
  <c r="K19" i="1" s="1"/>
  <c r="L19" i="1" s="1"/>
  <c r="I20" i="1"/>
  <c r="I21" i="1"/>
  <c r="I22" i="1"/>
  <c r="I23" i="1"/>
  <c r="I24" i="1"/>
  <c r="I25" i="1"/>
  <c r="I26" i="1"/>
  <c r="K26" i="1" s="1"/>
  <c r="L26" i="1" s="1"/>
  <c r="I27" i="1"/>
  <c r="I28" i="1"/>
  <c r="K28" i="1" s="1"/>
  <c r="L28" i="1" s="1"/>
  <c r="I29" i="1"/>
  <c r="K29" i="1" s="1"/>
  <c r="L29" i="1" s="1"/>
  <c r="I30" i="1"/>
  <c r="K30" i="1" s="1"/>
  <c r="L30" i="1" s="1"/>
  <c r="I31" i="1"/>
  <c r="I32" i="1"/>
  <c r="I33" i="1"/>
  <c r="K33" i="1" s="1"/>
  <c r="I34" i="1"/>
  <c r="I35" i="1"/>
  <c r="I36" i="1"/>
  <c r="I37" i="1"/>
  <c r="I38" i="1"/>
  <c r="K38" i="1" s="1"/>
  <c r="L38" i="1" s="1"/>
  <c r="I39" i="1"/>
  <c r="I40" i="1"/>
  <c r="K40" i="1" s="1"/>
  <c r="L40" i="1" s="1"/>
  <c r="I41" i="1"/>
  <c r="K41" i="1" s="1"/>
  <c r="L41" i="1" s="1"/>
  <c r="I42" i="1"/>
  <c r="I43" i="1"/>
  <c r="K43" i="1" s="1"/>
  <c r="L43" i="1" s="1"/>
  <c r="I44" i="1"/>
  <c r="I45" i="1"/>
  <c r="I46" i="1"/>
  <c r="I47" i="1"/>
  <c r="I48" i="1"/>
  <c r="I49" i="1"/>
  <c r="I50" i="1"/>
  <c r="K50" i="1" s="1"/>
  <c r="L50" i="1" s="1"/>
  <c r="I51" i="1"/>
  <c r="I52" i="1"/>
  <c r="K52" i="1" s="1"/>
  <c r="L52" i="1" s="1"/>
  <c r="I53" i="1"/>
  <c r="K53" i="1" s="1"/>
  <c r="L53" i="1" s="1"/>
  <c r="I54" i="1"/>
  <c r="I55" i="1"/>
  <c r="K55" i="1" s="1"/>
  <c r="I56" i="1"/>
  <c r="I57" i="1"/>
  <c r="I58" i="1"/>
  <c r="I59" i="1"/>
  <c r="I60" i="1"/>
  <c r="I61" i="1"/>
  <c r="I62" i="1"/>
  <c r="K62" i="1" s="1"/>
  <c r="L62" i="1" s="1"/>
  <c r="I63" i="1"/>
  <c r="I64" i="1"/>
  <c r="K64" i="1" s="1"/>
  <c r="L64" i="1" s="1"/>
  <c r="I65" i="1"/>
  <c r="K65" i="1" s="1"/>
  <c r="L65" i="1" s="1"/>
  <c r="I66" i="1"/>
  <c r="I67" i="1"/>
  <c r="I68" i="1"/>
  <c r="I69" i="1"/>
  <c r="I70" i="1"/>
  <c r="I71" i="1"/>
  <c r="I72" i="1"/>
  <c r="I73" i="1"/>
  <c r="I74" i="1"/>
  <c r="K74" i="1" s="1"/>
  <c r="L74" i="1" s="1"/>
  <c r="I75" i="1"/>
  <c r="I76" i="1"/>
  <c r="K76" i="1" s="1"/>
  <c r="L76" i="1" s="1"/>
  <c r="I77" i="1"/>
  <c r="K77" i="1" s="1"/>
  <c r="L77" i="1" s="1"/>
  <c r="I78" i="1"/>
  <c r="I79" i="1"/>
  <c r="I80" i="1"/>
  <c r="I81" i="1"/>
  <c r="I82" i="1"/>
  <c r="I83" i="1"/>
  <c r="I84" i="1"/>
  <c r="I85" i="1"/>
  <c r="I86" i="1"/>
  <c r="K86" i="1" s="1"/>
  <c r="L86" i="1" s="1"/>
  <c r="I87" i="1"/>
  <c r="I88" i="1"/>
  <c r="K88" i="1" s="1"/>
  <c r="L88" i="1" s="1"/>
  <c r="I89" i="1"/>
  <c r="K89" i="1" s="1"/>
  <c r="L89" i="1" s="1"/>
  <c r="I90" i="1"/>
  <c r="K90" i="1" s="1"/>
  <c r="L90" i="1" s="1"/>
  <c r="I91" i="1"/>
  <c r="K91" i="1" s="1"/>
  <c r="L91" i="1" s="1"/>
  <c r="I92" i="1"/>
  <c r="I93" i="1"/>
  <c r="I94" i="1"/>
  <c r="I95" i="1"/>
  <c r="I96" i="1"/>
  <c r="I97" i="1"/>
  <c r="I98" i="1"/>
  <c r="K98" i="1" s="1"/>
  <c r="L98" i="1" s="1"/>
  <c r="I99" i="1"/>
  <c r="I100" i="1"/>
  <c r="K100" i="1" s="1"/>
  <c r="L100" i="1" s="1"/>
  <c r="I101" i="1"/>
  <c r="K101" i="1" s="1"/>
  <c r="L101" i="1" s="1"/>
  <c r="I102" i="1"/>
  <c r="K102" i="1" s="1"/>
  <c r="L102" i="1" s="1"/>
  <c r="I103" i="1"/>
  <c r="K103" i="1" s="1"/>
  <c r="I104" i="1"/>
  <c r="I105" i="1"/>
  <c r="K105" i="1" s="1"/>
  <c r="I106" i="1"/>
  <c r="I107" i="1"/>
  <c r="I108" i="1"/>
  <c r="I109" i="1"/>
  <c r="I110" i="1"/>
  <c r="K110" i="1" s="1"/>
  <c r="L110" i="1" s="1"/>
  <c r="I111" i="1"/>
  <c r="I112" i="1"/>
  <c r="K112" i="1" s="1"/>
  <c r="L112" i="1" s="1"/>
  <c r="I113" i="1"/>
  <c r="K113" i="1" s="1"/>
  <c r="L113" i="1" s="1"/>
  <c r="I114" i="1"/>
  <c r="K114" i="1" s="1"/>
  <c r="L114" i="1" s="1"/>
  <c r="I115" i="1"/>
  <c r="I116" i="1"/>
  <c r="I117" i="1"/>
  <c r="K117" i="1" s="1"/>
  <c r="I118" i="1"/>
  <c r="I119" i="1"/>
  <c r="I120" i="1"/>
  <c r="I121" i="1"/>
  <c r="I122" i="1"/>
  <c r="K122" i="1" s="1"/>
  <c r="L122" i="1" s="1"/>
  <c r="I123" i="1"/>
  <c r="I124" i="1"/>
  <c r="K124" i="1" s="1"/>
  <c r="L124" i="1" s="1"/>
  <c r="I125" i="1"/>
  <c r="K125" i="1" s="1"/>
  <c r="L125" i="1" s="1"/>
  <c r="I126" i="1"/>
  <c r="I127" i="1"/>
  <c r="I128" i="1"/>
  <c r="I129" i="1"/>
  <c r="I130" i="1"/>
  <c r="I131" i="1"/>
  <c r="I132" i="1"/>
  <c r="I133" i="1"/>
  <c r="I134" i="1"/>
  <c r="K134" i="1" s="1"/>
  <c r="L134" i="1" s="1"/>
  <c r="I135" i="1"/>
  <c r="I136" i="1"/>
  <c r="K136" i="1" s="1"/>
  <c r="L136" i="1" s="1"/>
  <c r="I137" i="1"/>
  <c r="K137" i="1" s="1"/>
  <c r="L137" i="1" s="1"/>
  <c r="I138" i="1"/>
  <c r="K138" i="1" s="1"/>
  <c r="I139" i="1"/>
  <c r="I140" i="1"/>
  <c r="I141" i="1"/>
  <c r="I142" i="1"/>
  <c r="I143" i="1"/>
  <c r="I144" i="1"/>
  <c r="I145" i="1"/>
  <c r="I146" i="1"/>
  <c r="K146" i="1" s="1"/>
  <c r="L146" i="1" s="1"/>
  <c r="I147" i="1"/>
  <c r="I148" i="1"/>
  <c r="K148" i="1" s="1"/>
  <c r="L148" i="1" s="1"/>
  <c r="I149" i="1"/>
  <c r="K149" i="1" s="1"/>
  <c r="L149" i="1" s="1"/>
  <c r="I150" i="1"/>
  <c r="K150" i="1" s="1"/>
  <c r="L150" i="1" s="1"/>
  <c r="I151" i="1"/>
  <c r="K151" i="1" s="1"/>
  <c r="I152" i="1"/>
  <c r="I153" i="1"/>
  <c r="K153" i="1" s="1"/>
  <c r="L153" i="1" s="1"/>
  <c r="I154" i="1"/>
  <c r="I155" i="1"/>
  <c r="I156" i="1"/>
  <c r="I157" i="1"/>
  <c r="I158" i="1"/>
  <c r="K158" i="1" s="1"/>
  <c r="L158" i="1" s="1"/>
  <c r="I159" i="1"/>
  <c r="I160" i="1"/>
  <c r="K160" i="1" s="1"/>
  <c r="L160" i="1" s="1"/>
  <c r="I161" i="1"/>
  <c r="K161" i="1" s="1"/>
  <c r="L161" i="1" s="1"/>
  <c r="I162" i="1"/>
  <c r="I163" i="1"/>
  <c r="K163" i="1" s="1"/>
  <c r="I164" i="1"/>
  <c r="I165" i="1"/>
  <c r="K165" i="1" s="1"/>
  <c r="I166" i="1"/>
  <c r="I167" i="1"/>
  <c r="I168" i="1"/>
  <c r="I169" i="1"/>
  <c r="I170" i="1"/>
  <c r="K170" i="1" s="1"/>
  <c r="L170" i="1" s="1"/>
  <c r="I171" i="1"/>
  <c r="I172" i="1"/>
  <c r="K172" i="1" s="1"/>
  <c r="L172" i="1" s="1"/>
  <c r="I173" i="1"/>
  <c r="K173" i="1" s="1"/>
  <c r="L173" i="1" s="1"/>
  <c r="I174" i="1"/>
  <c r="K174" i="1" s="1"/>
  <c r="L174" i="1" s="1"/>
  <c r="I175" i="1"/>
  <c r="I176" i="1"/>
  <c r="I177" i="1"/>
  <c r="K177" i="1" s="1"/>
  <c r="I178" i="1"/>
  <c r="I179" i="1"/>
  <c r="I180" i="1"/>
  <c r="I181" i="1"/>
  <c r="I182" i="1"/>
  <c r="K182" i="1" s="1"/>
  <c r="L182" i="1" s="1"/>
  <c r="I183" i="1"/>
  <c r="I184" i="1"/>
  <c r="K184" i="1" s="1"/>
  <c r="L184" i="1" s="1"/>
  <c r="I185" i="1"/>
  <c r="K185" i="1" s="1"/>
  <c r="L185" i="1" s="1"/>
  <c r="I186" i="1"/>
  <c r="I187" i="1"/>
  <c r="I188" i="1"/>
  <c r="I189" i="1"/>
  <c r="I190" i="1"/>
  <c r="I191" i="1"/>
  <c r="I192" i="1"/>
  <c r="I193" i="1"/>
  <c r="I194" i="1"/>
  <c r="K194" i="1" s="1"/>
  <c r="L194" i="1" s="1"/>
  <c r="I195" i="1"/>
  <c r="I196" i="1"/>
  <c r="K196" i="1" s="1"/>
  <c r="L196" i="1" s="1"/>
  <c r="I197" i="1"/>
  <c r="K197" i="1" s="1"/>
  <c r="L197" i="1" s="1"/>
  <c r="I198" i="1"/>
  <c r="K198" i="1" s="1"/>
  <c r="L198" i="1" s="1"/>
  <c r="I199" i="1"/>
  <c r="I200" i="1"/>
  <c r="I201" i="1"/>
  <c r="I202" i="1"/>
  <c r="I203" i="1"/>
  <c r="I204" i="1"/>
  <c r="I205" i="1"/>
  <c r="I206" i="1"/>
  <c r="K206" i="1" s="1"/>
  <c r="L206" i="1" s="1"/>
  <c r="I207" i="1"/>
  <c r="I208" i="1"/>
  <c r="K208" i="1" s="1"/>
  <c r="L208" i="1" s="1"/>
  <c r="I209" i="1"/>
  <c r="K209" i="1" s="1"/>
  <c r="L209" i="1" s="1"/>
  <c r="I210" i="1"/>
  <c r="I211" i="1"/>
  <c r="I212" i="1"/>
  <c r="I213" i="1"/>
  <c r="K213" i="1" s="1"/>
  <c r="I214" i="1"/>
  <c r="I215" i="1"/>
  <c r="I216" i="1"/>
  <c r="I217" i="1"/>
  <c r="I218" i="1"/>
  <c r="K218" i="1" s="1"/>
  <c r="I219" i="1"/>
  <c r="I220" i="1"/>
  <c r="K220" i="1" s="1"/>
  <c r="L220" i="1" s="1"/>
  <c r="I221" i="1"/>
  <c r="K221" i="1" s="1"/>
  <c r="L221" i="1" s="1"/>
  <c r="I222" i="1"/>
  <c r="I223" i="1"/>
  <c r="I224" i="1"/>
  <c r="I225" i="1"/>
  <c r="I226" i="1"/>
  <c r="I227" i="1"/>
  <c r="I228" i="1"/>
  <c r="I229" i="1"/>
  <c r="I230" i="1"/>
  <c r="K230" i="1" s="1"/>
  <c r="L230" i="1" s="1"/>
  <c r="I231" i="1"/>
  <c r="I232" i="1"/>
  <c r="K232" i="1" s="1"/>
  <c r="L232" i="1" s="1"/>
  <c r="I233" i="1"/>
  <c r="K233" i="1" s="1"/>
  <c r="L233" i="1" s="1"/>
  <c r="I234" i="1"/>
  <c r="K234" i="1" s="1"/>
  <c r="L234" i="1" s="1"/>
  <c r="I235" i="1"/>
  <c r="K235" i="1" s="1"/>
  <c r="I236" i="1"/>
  <c r="I237" i="1"/>
  <c r="I238" i="1"/>
  <c r="I239" i="1"/>
  <c r="I240" i="1"/>
  <c r="I241" i="1"/>
  <c r="I242" i="1"/>
  <c r="K242" i="1" s="1"/>
  <c r="I243" i="1"/>
  <c r="I244" i="1"/>
  <c r="K244" i="1" s="1"/>
  <c r="L244" i="1" s="1"/>
  <c r="I245" i="1"/>
  <c r="K245" i="1" s="1"/>
  <c r="L245" i="1" s="1"/>
  <c r="I246" i="1"/>
  <c r="I247" i="1"/>
  <c r="K247" i="1" s="1"/>
  <c r="I248" i="1"/>
  <c r="I249" i="1"/>
  <c r="K249" i="1" s="1"/>
  <c r="L249" i="1" s="1"/>
  <c r="I250" i="1"/>
  <c r="I251" i="1"/>
  <c r="I252" i="1"/>
  <c r="I253" i="1"/>
  <c r="I254" i="1"/>
  <c r="K254" i="1" s="1"/>
  <c r="L254" i="1" s="1"/>
  <c r="I255" i="1"/>
  <c r="I256" i="1"/>
  <c r="K256" i="1" s="1"/>
  <c r="L256" i="1" s="1"/>
  <c r="I257" i="1"/>
  <c r="K257" i="1" s="1"/>
  <c r="L257" i="1" s="1"/>
  <c r="I258" i="1"/>
  <c r="K258" i="1" s="1"/>
  <c r="L258" i="1" s="1"/>
  <c r="I259" i="1"/>
  <c r="K259" i="1" s="1"/>
  <c r="I260" i="1"/>
  <c r="I261" i="1"/>
  <c r="I262" i="1"/>
  <c r="I263" i="1"/>
  <c r="I264" i="1"/>
  <c r="I265" i="1"/>
  <c r="I266" i="1"/>
  <c r="K266" i="1" s="1"/>
  <c r="L266" i="1" s="1"/>
  <c r="I267" i="1"/>
  <c r="I268" i="1"/>
  <c r="K268" i="1" s="1"/>
  <c r="L268" i="1" s="1"/>
  <c r="I269" i="1"/>
  <c r="K269" i="1" s="1"/>
  <c r="L269" i="1" s="1"/>
  <c r="I270" i="1"/>
  <c r="I271" i="1"/>
  <c r="I272" i="1"/>
  <c r="I273" i="1"/>
  <c r="I274" i="1"/>
  <c r="I275" i="1"/>
  <c r="I276" i="1"/>
  <c r="I277" i="1"/>
  <c r="I278" i="1"/>
  <c r="K278" i="1" s="1"/>
  <c r="L278" i="1" s="1"/>
  <c r="I279" i="1"/>
  <c r="I280" i="1"/>
  <c r="K280" i="1" s="1"/>
  <c r="L280" i="1" s="1"/>
  <c r="I281" i="1"/>
  <c r="K281" i="1" s="1"/>
  <c r="L281" i="1" s="1"/>
  <c r="I282" i="1"/>
  <c r="K282" i="1" s="1"/>
  <c r="L282" i="1" s="1"/>
  <c r="I283" i="1"/>
  <c r="I284" i="1"/>
  <c r="I285" i="1"/>
  <c r="I286" i="1"/>
  <c r="I287" i="1"/>
  <c r="I288" i="1"/>
  <c r="I289" i="1"/>
  <c r="I290" i="1"/>
  <c r="K290" i="1" s="1"/>
  <c r="L290" i="1" s="1"/>
  <c r="I291" i="1"/>
  <c r="I292" i="1"/>
  <c r="K292" i="1" s="1"/>
  <c r="L292" i="1" s="1"/>
  <c r="I293" i="1"/>
  <c r="K293" i="1" s="1"/>
  <c r="L293" i="1" s="1"/>
  <c r="I294" i="1"/>
  <c r="I295" i="1"/>
  <c r="K295" i="1" s="1"/>
  <c r="I296" i="1"/>
  <c r="I297" i="1"/>
  <c r="I298" i="1"/>
  <c r="I299" i="1"/>
  <c r="I300" i="1"/>
  <c r="I301" i="1"/>
  <c r="I302" i="1"/>
  <c r="K302" i="1" s="1"/>
  <c r="L302" i="1" s="1"/>
  <c r="I303" i="1"/>
  <c r="I304" i="1"/>
  <c r="K304" i="1" s="1"/>
  <c r="L304" i="1" s="1"/>
  <c r="I305" i="1"/>
  <c r="K305" i="1" s="1"/>
  <c r="L305" i="1" s="1"/>
  <c r="I306" i="1"/>
  <c r="K306" i="1" s="1"/>
  <c r="L306" i="1" s="1"/>
  <c r="I307" i="1"/>
  <c r="K307" i="1" s="1"/>
  <c r="L307" i="1" s="1"/>
  <c r="I308" i="1"/>
  <c r="I309" i="1"/>
  <c r="I310" i="1"/>
  <c r="I311" i="1"/>
  <c r="I312" i="1"/>
  <c r="I313" i="1"/>
  <c r="I314" i="1"/>
  <c r="K314" i="1" s="1"/>
  <c r="L314" i="1" s="1"/>
  <c r="I315" i="1"/>
  <c r="I316" i="1"/>
  <c r="K316" i="1" s="1"/>
  <c r="L316" i="1" s="1"/>
  <c r="I317" i="1"/>
  <c r="K317" i="1" s="1"/>
  <c r="L317" i="1" s="1"/>
  <c r="I318" i="1"/>
  <c r="K318" i="1" s="1"/>
  <c r="L318" i="1" s="1"/>
  <c r="I319" i="1"/>
  <c r="I320" i="1"/>
  <c r="I321" i="1"/>
  <c r="K321" i="1" s="1"/>
  <c r="L321" i="1" s="1"/>
  <c r="I322" i="1"/>
  <c r="I323" i="1"/>
  <c r="I324" i="1"/>
  <c r="I325" i="1"/>
  <c r="I326" i="1"/>
  <c r="K326" i="1" s="1"/>
  <c r="L326" i="1" s="1"/>
  <c r="I327" i="1"/>
  <c r="I328" i="1"/>
  <c r="K328" i="1" s="1"/>
  <c r="L328" i="1" s="1"/>
  <c r="I329" i="1"/>
  <c r="K329" i="1" s="1"/>
  <c r="L329" i="1" s="1"/>
  <c r="I330" i="1"/>
  <c r="I331" i="1"/>
  <c r="I332" i="1"/>
  <c r="I333" i="1"/>
  <c r="I334" i="1"/>
  <c r="I335" i="1"/>
  <c r="I336" i="1"/>
  <c r="I337" i="1"/>
  <c r="I338" i="1"/>
  <c r="K338" i="1" s="1"/>
  <c r="L338" i="1" s="1"/>
  <c r="I339" i="1"/>
  <c r="I340" i="1"/>
  <c r="K340" i="1" s="1"/>
  <c r="L340" i="1" s="1"/>
  <c r="I341" i="1"/>
  <c r="K341" i="1" s="1"/>
  <c r="L341" i="1" s="1"/>
  <c r="I342" i="1"/>
  <c r="K342" i="1" s="1"/>
  <c r="L342" i="1" s="1"/>
  <c r="I343" i="1"/>
  <c r="I344" i="1"/>
  <c r="I345" i="1"/>
  <c r="I346" i="1"/>
  <c r="I347" i="1"/>
  <c r="I348" i="1"/>
  <c r="I349" i="1"/>
  <c r="I350" i="1"/>
  <c r="K350" i="1" s="1"/>
  <c r="L350" i="1" s="1"/>
  <c r="I351" i="1"/>
  <c r="K351" i="1" s="1"/>
  <c r="L351" i="1" s="1"/>
  <c r="I352" i="1"/>
  <c r="K352" i="1" s="1"/>
  <c r="L352" i="1" s="1"/>
  <c r="I353" i="1"/>
  <c r="K353" i="1" s="1"/>
  <c r="L353" i="1" s="1"/>
  <c r="I354" i="1"/>
  <c r="K354" i="1" s="1"/>
  <c r="I355" i="1"/>
  <c r="K355" i="1" s="1"/>
  <c r="L355" i="1" s="1"/>
  <c r="I356" i="1"/>
  <c r="I357" i="1"/>
  <c r="K357" i="1" s="1"/>
  <c r="L357" i="1" s="1"/>
  <c r="I358" i="1"/>
  <c r="I359" i="1"/>
  <c r="I360" i="1"/>
  <c r="I361" i="1"/>
  <c r="I362" i="1"/>
  <c r="K362" i="1" s="1"/>
  <c r="L362" i="1" s="1"/>
  <c r="I363" i="1"/>
  <c r="K363" i="1" s="1"/>
  <c r="L363" i="1" s="1"/>
  <c r="I364" i="1"/>
  <c r="K364" i="1" s="1"/>
  <c r="L364" i="1" s="1"/>
  <c r="I365" i="1"/>
  <c r="K365" i="1" s="1"/>
  <c r="L365" i="1" s="1"/>
  <c r="I366" i="1"/>
  <c r="K366" i="1" s="1"/>
  <c r="L366" i="1" s="1"/>
  <c r="I367" i="1"/>
  <c r="I368" i="1"/>
  <c r="I369" i="1"/>
  <c r="K369" i="1" s="1"/>
  <c r="I370" i="1"/>
  <c r="I371" i="1"/>
  <c r="I372" i="1"/>
  <c r="I373" i="1"/>
  <c r="I374" i="1"/>
  <c r="K374" i="1" s="1"/>
  <c r="L374" i="1" s="1"/>
  <c r="I375" i="1"/>
  <c r="K375" i="1" s="1"/>
  <c r="L375" i="1" s="1"/>
  <c r="I376" i="1"/>
  <c r="K376" i="1" s="1"/>
  <c r="L376" i="1" s="1"/>
  <c r="I377" i="1"/>
  <c r="K377" i="1" s="1"/>
  <c r="L377" i="1" s="1"/>
  <c r="I378" i="1"/>
  <c r="I379" i="1"/>
  <c r="K379" i="1" s="1"/>
  <c r="I380" i="1"/>
  <c r="I381" i="1"/>
  <c r="K381" i="1" s="1"/>
  <c r="L381" i="1" s="1"/>
  <c r="I382" i="1"/>
  <c r="I383" i="1"/>
  <c r="I384" i="1"/>
  <c r="I385" i="1"/>
  <c r="I386" i="1"/>
  <c r="K386" i="1" s="1"/>
  <c r="I387" i="1"/>
  <c r="K387" i="1" s="1"/>
  <c r="L387" i="1" s="1"/>
  <c r="I388" i="1"/>
  <c r="K388" i="1" s="1"/>
  <c r="L388" i="1" s="1"/>
  <c r="I389" i="1"/>
  <c r="K389" i="1" s="1"/>
  <c r="L389" i="1" s="1"/>
  <c r="I390" i="1"/>
  <c r="I391" i="1"/>
  <c r="I392" i="1"/>
  <c r="I393" i="1"/>
  <c r="K393" i="1" s="1"/>
  <c r="I394" i="1"/>
  <c r="I395" i="1"/>
  <c r="I396" i="1"/>
  <c r="I397" i="1"/>
  <c r="I398" i="1"/>
  <c r="K398" i="1" s="1"/>
  <c r="L398" i="1" s="1"/>
  <c r="I399" i="1"/>
  <c r="K399" i="1" s="1"/>
  <c r="L399" i="1" s="1"/>
  <c r="I400" i="1"/>
  <c r="K400" i="1" s="1"/>
  <c r="L400" i="1" s="1"/>
  <c r="I401" i="1"/>
  <c r="K401" i="1" s="1"/>
  <c r="L401" i="1" s="1"/>
  <c r="I402" i="1"/>
  <c r="K402" i="1" s="1"/>
  <c r="I403" i="1"/>
  <c r="K403" i="1" s="1"/>
  <c r="L403" i="1" s="1"/>
  <c r="I404" i="1"/>
  <c r="I405" i="1"/>
  <c r="K405" i="1" s="1"/>
  <c r="L405" i="1" s="1"/>
  <c r="I406" i="1"/>
  <c r="I407" i="1"/>
  <c r="I408" i="1"/>
  <c r="I409" i="1"/>
  <c r="I410" i="1"/>
  <c r="K410" i="1" s="1"/>
  <c r="L410" i="1" s="1"/>
  <c r="I411" i="1"/>
  <c r="K411" i="1" s="1"/>
  <c r="L411" i="1" s="1"/>
  <c r="I412" i="1"/>
  <c r="K412" i="1" s="1"/>
  <c r="L412" i="1" s="1"/>
  <c r="I413" i="1"/>
  <c r="K413" i="1" s="1"/>
  <c r="L413" i="1" s="1"/>
  <c r="I414" i="1"/>
  <c r="I415" i="1"/>
  <c r="I416" i="1"/>
  <c r="I417" i="1"/>
  <c r="K417" i="1" s="1"/>
  <c r="I418" i="1"/>
  <c r="I419" i="1"/>
  <c r="I420" i="1"/>
  <c r="I421" i="1"/>
  <c r="I422" i="1"/>
  <c r="K422" i="1" s="1"/>
  <c r="L422" i="1" s="1"/>
  <c r="I423" i="1"/>
  <c r="K423" i="1" s="1"/>
  <c r="L423" i="1" s="1"/>
  <c r="I424" i="1"/>
  <c r="K424" i="1" s="1"/>
  <c r="L424" i="1" s="1"/>
  <c r="I425" i="1"/>
  <c r="K425" i="1" s="1"/>
  <c r="L425" i="1" s="1"/>
  <c r="I426" i="1"/>
  <c r="K426" i="1" s="1"/>
  <c r="L426" i="1" s="1"/>
  <c r="I427" i="1"/>
  <c r="I428" i="1"/>
  <c r="I429" i="1"/>
  <c r="I430" i="1"/>
  <c r="I431" i="1"/>
  <c r="I432" i="1"/>
  <c r="I433" i="1"/>
  <c r="I434" i="1"/>
  <c r="I435" i="1"/>
  <c r="K435" i="1" s="1"/>
  <c r="I436" i="1"/>
  <c r="K436" i="1" s="1"/>
  <c r="L436" i="1" s="1"/>
  <c r="I437" i="1"/>
  <c r="K437" i="1" s="1"/>
  <c r="L437" i="1" s="1"/>
  <c r="I438" i="1"/>
  <c r="I439" i="1"/>
  <c r="I440" i="1"/>
  <c r="I441" i="1"/>
  <c r="I442" i="1"/>
  <c r="I443" i="1"/>
  <c r="I444" i="1"/>
  <c r="I445" i="1"/>
  <c r="I446" i="1"/>
  <c r="K446" i="1" s="1"/>
  <c r="L446" i="1" s="1"/>
  <c r="I447" i="1"/>
  <c r="K447" i="1" s="1"/>
  <c r="L447" i="1" s="1"/>
  <c r="I448" i="1"/>
  <c r="K448" i="1" s="1"/>
  <c r="L448" i="1" s="1"/>
  <c r="I449" i="1"/>
  <c r="K449" i="1" s="1"/>
  <c r="L449" i="1" s="1"/>
  <c r="I450" i="1"/>
  <c r="I451" i="1"/>
  <c r="K451" i="1" s="1"/>
  <c r="I452" i="1"/>
  <c r="I453" i="1"/>
  <c r="I454" i="1"/>
  <c r="I455" i="1"/>
  <c r="I456" i="1"/>
  <c r="I457" i="1"/>
  <c r="I458" i="1"/>
  <c r="I459" i="1"/>
  <c r="K459" i="1" s="1"/>
  <c r="L459" i="1" s="1"/>
  <c r="I460" i="1"/>
  <c r="K460" i="1" s="1"/>
  <c r="L460" i="1" s="1"/>
  <c r="I461" i="1"/>
  <c r="K461" i="1" s="1"/>
  <c r="L461" i="1" s="1"/>
  <c r="I462" i="1"/>
  <c r="K462" i="1" s="1"/>
  <c r="L462" i="1" s="1"/>
  <c r="I463" i="1"/>
  <c r="K463" i="1" s="1"/>
  <c r="I464" i="1"/>
  <c r="I465" i="1"/>
  <c r="K465" i="1" s="1"/>
  <c r="L465" i="1" s="1"/>
  <c r="I466" i="1"/>
  <c r="I467" i="1"/>
  <c r="I468" i="1"/>
  <c r="I469" i="1"/>
  <c r="I470" i="1"/>
  <c r="K470" i="1" s="1"/>
  <c r="L470" i="1" s="1"/>
  <c r="I471" i="1"/>
  <c r="K471" i="1" s="1"/>
  <c r="L471" i="1" s="1"/>
  <c r="I472" i="1"/>
  <c r="K472" i="1" s="1"/>
  <c r="L472" i="1" s="1"/>
  <c r="I473" i="1"/>
  <c r="K473" i="1" s="1"/>
  <c r="L473" i="1" s="1"/>
  <c r="I474" i="1"/>
  <c r="I475" i="1"/>
  <c r="I476" i="1"/>
  <c r="I477" i="1"/>
  <c r="I478" i="1"/>
  <c r="I479" i="1"/>
  <c r="I480" i="1"/>
  <c r="I481" i="1"/>
  <c r="I482" i="1"/>
  <c r="K482" i="1" s="1"/>
  <c r="I483" i="1"/>
  <c r="K483" i="1" s="1"/>
  <c r="L483" i="1" s="1"/>
  <c r="I484" i="1"/>
  <c r="K484" i="1" s="1"/>
  <c r="L484" i="1" s="1"/>
  <c r="I485" i="1"/>
  <c r="K485" i="1" s="1"/>
  <c r="L485" i="1" s="1"/>
  <c r="I486" i="1"/>
  <c r="K486" i="1" s="1"/>
  <c r="L486" i="1" s="1"/>
  <c r="I487" i="1"/>
  <c r="I488" i="1"/>
  <c r="I489" i="1"/>
  <c r="I490" i="1"/>
  <c r="I491" i="1"/>
  <c r="I492" i="1"/>
  <c r="I493" i="1"/>
  <c r="I494" i="1"/>
  <c r="K494" i="1" s="1"/>
  <c r="L494" i="1" s="1"/>
  <c r="I495" i="1"/>
  <c r="K495" i="1" s="1"/>
  <c r="L495" i="1" s="1"/>
  <c r="I496" i="1"/>
  <c r="K496" i="1" s="1"/>
  <c r="L496" i="1" s="1"/>
  <c r="I497" i="1"/>
  <c r="K497" i="1" s="1"/>
  <c r="L497" i="1" s="1"/>
  <c r="I498" i="1"/>
  <c r="I499" i="1"/>
  <c r="K499" i="1" s="1"/>
  <c r="I500" i="1"/>
  <c r="I501" i="1"/>
  <c r="I2" i="1"/>
  <c r="K442" i="1" l="1"/>
  <c r="L442" i="1" s="1"/>
  <c r="K298" i="1"/>
  <c r="L298" i="1" s="1"/>
  <c r="K238" i="1"/>
  <c r="L238" i="1" s="1"/>
  <c r="K214" i="1"/>
  <c r="L214" i="1" s="1"/>
  <c r="K178" i="1"/>
  <c r="L178" i="1" s="1"/>
  <c r="K154" i="1"/>
  <c r="L154" i="1" s="1"/>
  <c r="K130" i="1"/>
  <c r="L130" i="1" s="1"/>
  <c r="K94" i="1"/>
  <c r="L94" i="1" s="1"/>
  <c r="K10" i="1"/>
  <c r="L10" i="1" s="1"/>
  <c r="K406" i="1"/>
  <c r="L406" i="1" s="1"/>
  <c r="K466" i="1"/>
  <c r="L466" i="1" s="1"/>
  <c r="K2" i="1"/>
  <c r="L2" i="1" s="1"/>
  <c r="K229" i="1"/>
  <c r="L229" i="1" s="1"/>
  <c r="K478" i="1"/>
  <c r="L478" i="1" s="1"/>
  <c r="K370" i="1"/>
  <c r="L370" i="1" s="1"/>
  <c r="K322" i="1"/>
  <c r="L322" i="1" s="1"/>
  <c r="K310" i="1"/>
  <c r="L310" i="1" s="1"/>
  <c r="K274" i="1"/>
  <c r="L274" i="1" s="1"/>
  <c r="K262" i="1"/>
  <c r="L262" i="1" s="1"/>
  <c r="K166" i="1"/>
  <c r="L166" i="1" s="1"/>
  <c r="K118" i="1"/>
  <c r="L118" i="1" s="1"/>
  <c r="K106" i="1"/>
  <c r="L106" i="1" s="1"/>
  <c r="K70" i="1"/>
  <c r="L70" i="1" s="1"/>
  <c r="K58" i="1"/>
  <c r="L58" i="1" s="1"/>
  <c r="K481" i="1"/>
  <c r="L481" i="1" s="1"/>
  <c r="K385" i="1"/>
  <c r="L385" i="1" s="1"/>
  <c r="K169" i="1"/>
  <c r="L169" i="1" s="1"/>
  <c r="K25" i="1"/>
  <c r="L25" i="1" s="1"/>
  <c r="K433" i="1"/>
  <c r="L433" i="1" s="1"/>
  <c r="K373" i="1"/>
  <c r="L373" i="1" s="1"/>
  <c r="K181" i="1"/>
  <c r="L181" i="1" s="1"/>
  <c r="K133" i="1"/>
  <c r="L133" i="1" s="1"/>
  <c r="K339" i="1"/>
  <c r="L339" i="1" s="1"/>
  <c r="K327" i="1"/>
  <c r="L327" i="1" s="1"/>
  <c r="K315" i="1"/>
  <c r="L315" i="1" s="1"/>
  <c r="K303" i="1"/>
  <c r="L303" i="1" s="1"/>
  <c r="K291" i="1"/>
  <c r="L291" i="1" s="1"/>
  <c r="K279" i="1"/>
  <c r="L279" i="1" s="1"/>
  <c r="K267" i="1"/>
  <c r="L267" i="1" s="1"/>
  <c r="K255" i="1"/>
  <c r="L255" i="1" s="1"/>
  <c r="K243" i="1"/>
  <c r="L243" i="1" s="1"/>
  <c r="K231" i="1"/>
  <c r="L231" i="1" s="1"/>
  <c r="K219" i="1"/>
  <c r="L219" i="1" s="1"/>
  <c r="K207" i="1"/>
  <c r="L207" i="1" s="1"/>
  <c r="K195" i="1"/>
  <c r="L195" i="1" s="1"/>
  <c r="K183" i="1"/>
  <c r="L183" i="1" s="1"/>
  <c r="K171" i="1"/>
  <c r="L171" i="1" s="1"/>
  <c r="K159" i="1"/>
  <c r="L159" i="1" s="1"/>
  <c r="K147" i="1"/>
  <c r="L147" i="1" s="1"/>
  <c r="K135" i="1"/>
  <c r="L135" i="1" s="1"/>
  <c r="K123" i="1"/>
  <c r="L123" i="1" s="1"/>
  <c r="K111" i="1"/>
  <c r="L111" i="1" s="1"/>
  <c r="K99" i="1"/>
  <c r="L99" i="1" s="1"/>
  <c r="K87" i="1"/>
  <c r="L87" i="1" s="1"/>
  <c r="K75" i="1"/>
  <c r="L75" i="1" s="1"/>
  <c r="K63" i="1"/>
  <c r="L63" i="1" s="1"/>
  <c r="K51" i="1"/>
  <c r="L51" i="1" s="1"/>
  <c r="K39" i="1"/>
  <c r="L39" i="1" s="1"/>
  <c r="K27" i="1"/>
  <c r="L27" i="1" s="1"/>
  <c r="K15" i="1"/>
  <c r="L15" i="1" s="1"/>
  <c r="K3" i="1"/>
  <c r="L3" i="1" s="1"/>
  <c r="K492" i="1"/>
  <c r="L492" i="1" s="1"/>
  <c r="K480" i="1"/>
  <c r="L480" i="1" s="1"/>
  <c r="K468" i="1"/>
  <c r="L468" i="1" s="1"/>
  <c r="K456" i="1"/>
  <c r="L456" i="1" s="1"/>
  <c r="K444" i="1"/>
  <c r="L444" i="1" s="1"/>
  <c r="K432" i="1"/>
  <c r="L432" i="1" s="1"/>
  <c r="K420" i="1"/>
  <c r="L420" i="1" s="1"/>
  <c r="K408" i="1"/>
  <c r="L408" i="1" s="1"/>
  <c r="K396" i="1"/>
  <c r="L396" i="1" s="1"/>
  <c r="K384" i="1"/>
  <c r="L384" i="1" s="1"/>
  <c r="K372" i="1"/>
  <c r="L372" i="1" s="1"/>
  <c r="K360" i="1"/>
  <c r="L360" i="1" s="1"/>
  <c r="K348" i="1"/>
  <c r="L348" i="1" s="1"/>
  <c r="K336" i="1"/>
  <c r="L336" i="1" s="1"/>
  <c r="K324" i="1"/>
  <c r="L324" i="1" s="1"/>
  <c r="K312" i="1"/>
  <c r="L312" i="1" s="1"/>
  <c r="K300" i="1"/>
  <c r="L300" i="1" s="1"/>
  <c r="K288" i="1"/>
  <c r="L288" i="1" s="1"/>
  <c r="K276" i="1"/>
  <c r="L276" i="1" s="1"/>
  <c r="K264" i="1"/>
  <c r="L264" i="1" s="1"/>
  <c r="K252" i="1"/>
  <c r="L252" i="1" s="1"/>
  <c r="K240" i="1"/>
  <c r="L240" i="1" s="1"/>
  <c r="K228" i="1"/>
  <c r="L228" i="1" s="1"/>
  <c r="K216" i="1"/>
  <c r="L216" i="1" s="1"/>
  <c r="K204" i="1"/>
  <c r="L204" i="1" s="1"/>
  <c r="K192" i="1"/>
  <c r="L192" i="1" s="1"/>
  <c r="K180" i="1"/>
  <c r="L180" i="1" s="1"/>
  <c r="K168" i="1"/>
  <c r="L168" i="1" s="1"/>
  <c r="K156" i="1"/>
  <c r="L156" i="1" s="1"/>
  <c r="K144" i="1"/>
  <c r="L144" i="1" s="1"/>
  <c r="K132" i="1"/>
  <c r="L132" i="1" s="1"/>
  <c r="K120" i="1"/>
  <c r="L120" i="1" s="1"/>
  <c r="K108" i="1"/>
  <c r="L108" i="1" s="1"/>
  <c r="K96" i="1"/>
  <c r="L96" i="1" s="1"/>
  <c r="K84" i="1"/>
  <c r="L84" i="1" s="1"/>
  <c r="K72" i="1"/>
  <c r="L72" i="1" s="1"/>
  <c r="K60" i="1"/>
  <c r="L60" i="1" s="1"/>
  <c r="K48" i="1"/>
  <c r="L48" i="1" s="1"/>
  <c r="K36" i="1"/>
  <c r="L36" i="1" s="1"/>
  <c r="K24" i="1"/>
  <c r="L24" i="1" s="1"/>
  <c r="K12" i="1"/>
  <c r="L12" i="1" s="1"/>
</calcChain>
</file>

<file path=xl/sharedStrings.xml><?xml version="1.0" encoding="utf-8"?>
<sst xmlns="http://schemas.openxmlformats.org/spreadsheetml/2006/main" count="2060" uniqueCount="61">
  <si>
    <t>Date</t>
  </si>
  <si>
    <t>Salesperson</t>
  </si>
  <si>
    <t>Region</t>
  </si>
  <si>
    <t>Product</t>
  </si>
  <si>
    <t>Category</t>
  </si>
  <si>
    <t>Quantity</t>
  </si>
  <si>
    <t>Unit Price</t>
  </si>
  <si>
    <t>Cost</t>
  </si>
  <si>
    <t>Amanda Martinez</t>
  </si>
  <si>
    <t>East</t>
  </si>
  <si>
    <t>Standing Desk</t>
  </si>
  <si>
    <t>Furniture</t>
  </si>
  <si>
    <t>Michael Scott</t>
  </si>
  <si>
    <t>Smart RGB Light Strip</t>
  </si>
  <si>
    <t>Lighting</t>
  </si>
  <si>
    <t>Emily Chen</t>
  </si>
  <si>
    <t>North</t>
  </si>
  <si>
    <t>3-Drawer Filing Cabinet</t>
  </si>
  <si>
    <t>David Miller</t>
  </si>
  <si>
    <t>South</t>
  </si>
  <si>
    <t>Heavy-Duty Stapler</t>
  </si>
  <si>
    <t>Office Supplies</t>
  </si>
  <si>
    <t>Robert Chen</t>
  </si>
  <si>
    <t>West</t>
  </si>
  <si>
    <t>Wireless Mouse</t>
  </si>
  <si>
    <t>Electronics</t>
  </si>
  <si>
    <t>Laptop Pro 15</t>
  </si>
  <si>
    <t>Sarah Jenkins</t>
  </si>
  <si>
    <t>Cross-Cut Paper Shredder</t>
  </si>
  <si>
    <t>LED Architect Desk Lamp</t>
  </si>
  <si>
    <t>Whiteboard 4x3</t>
  </si>
  <si>
    <t>Jessica Taylor</t>
  </si>
  <si>
    <t>Central</t>
  </si>
  <si>
    <t>USB-C Docking Station</t>
  </si>
  <si>
    <t>Ergonomic Office Chair</t>
  </si>
  <si>
    <t>27-inch 4K Monitor</t>
  </si>
  <si>
    <t>Ergonomic Keyboard</t>
  </si>
  <si>
    <t>James Wilson</t>
  </si>
  <si>
    <t>Executive Desk</t>
  </si>
  <si>
    <t>Noise-Canceling Headset</t>
  </si>
  <si>
    <t>Gross sales</t>
  </si>
  <si>
    <t>Total cost</t>
  </si>
  <si>
    <t>Profit</t>
  </si>
  <si>
    <t>Profit margin</t>
  </si>
  <si>
    <t>Month</t>
  </si>
  <si>
    <t>Row Labels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</si>
  <si>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</si>
  <si>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</si>
  <si>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</si>
  <si>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</si>
  <si>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</si>
  <si>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</si>
  <si>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</si>
  <si>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</si>
  <si>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</si>
  <si>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</si>
  <si>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</si>
  <si>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</si>
  <si>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Grand Total</t>
  </si>
  <si>
    <t>Sum of Gross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</si>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</sst>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Dashboar.xlsx]Monthly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81033.03</c:v>
                </c:pt>
                <c:pt idx="1">
                  <c:v>99993.45</c:v>
                </c:pt>
                <c:pt idx="2">
                  <c:v>82363.459999999992</c:v>
                </c:pt>
                <c:pt idx="3">
                  <c:v>71708.080000000016</c:v>
                </c:pt>
                <c:pt idx="4">
                  <c:v>53145.469999999994</c:v>
                </c:pt>
                <c:pt idx="5">
                  <c:v>77859.179999999993</c:v>
                </c:pt>
                <c:pt idx="6">
                  <c:v>74202.51999999999</c:v>
                </c:pt>
                <c:pt idx="7">
                  <c:v>48876.779999999992</c:v>
                </c:pt>
                <c:pt idx="8">
                  <c:v>93955.6</c:v>
                </c:pt>
                <c:pt idx="9">
                  <c:v>79058.920000000013</c:v>
                </c:pt>
                <c:pt idx="10">
                  <c:v>90534.48000000001</c:v>
                </c:pt>
                <c:pt idx="11">
                  <c:v>69022.210000000006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8-4ED8-A552-18340B418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819535"/>
        <c:axId val="1099464623"/>
      </c:lineChart>
      <c:catAx>
        <c:axId val="11058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64623"/>
        <c:crosses val="autoZero"/>
        <c:auto val="1"/>
        <c:lblAlgn val="ctr"/>
        <c:lblOffset val="100"/>
        <c:noMultiLvlLbl val="0"/>
      </c:catAx>
      <c:valAx>
        <c:axId val="10994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Dashboar.xlsx]Top products!PivotTable2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products'!$A$4:$A$9</c:f>
              <c:strCache>
                <c:ptCount val="5"/>
                <c:pt idx="0">
                  <c:v>Laptop Pro 15</c:v>
                </c:pt>
                <c:pt idx="1">
                  <c:v>Whiteboard 4x3</c:v>
                </c:pt>
                <c:pt idx="2">
                  <c:v>27-inch 4K Monitor</c:v>
                </c:pt>
                <c:pt idx="3">
                  <c:v>Ergonomic Office Chair</c:v>
                </c:pt>
                <c:pt idx="4">
                  <c:v>Ergonomic Keyboard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132500</c:v>
                </c:pt>
                <c:pt idx="1">
                  <c:v>101778.68999999997</c:v>
                </c:pt>
                <c:pt idx="2">
                  <c:v>99397.159999999974</c:v>
                </c:pt>
                <c:pt idx="3">
                  <c:v>82197.260000000009</c:v>
                </c:pt>
                <c:pt idx="4">
                  <c:v>82160.869999999981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F-46B9-80E7-A81465C4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979951"/>
        <c:axId val="1099566383"/>
      </c:barChart>
      <c:catAx>
        <c:axId val="126397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66383"/>
        <c:crosses val="autoZero"/>
        <c:auto val="1"/>
        <c:lblAlgn val="ctr"/>
        <c:lblOffset val="100"/>
        <c:noMultiLvlLbl val="0"/>
      </c:catAx>
      <c:valAx>
        <c:axId val="109956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Dashboar.xlsx]Top Region!PivotTable3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Region'!$B$3</c:f>
              <c:strCache>
                <c:ptCount val="1"/>
                <c:pt idx="0">
                  <c:v>Sum of 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Region'!$A$4:$A$9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'Top Region'!$B$4:$B$9</c:f>
              <c:numCache>
                <c:formatCode>General</c:formatCode>
                <c:ptCount val="5"/>
                <c:pt idx="0">
                  <c:v>243479.63000000015</c:v>
                </c:pt>
                <c:pt idx="1">
                  <c:v>221610.20000000007</c:v>
                </c:pt>
                <c:pt idx="2">
                  <c:v>212272.59</c:v>
                </c:pt>
                <c:pt idx="3">
                  <c:v>144585.31999999998</c:v>
                </c:pt>
                <c:pt idx="4">
                  <c:v>99805.440000000002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9-4099-A331-02E9107C2211}"/>
            </c:ext>
          </c:extLst>
        </c:ser>
        <c:ser>
          <c:idx val="1"/>
          <c:order val="1"/>
          <c:tx>
            <c:strRef>
              <c:f>'Top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Region'!$A$4:$A$9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'Top Region'!$C$4:$C$9</c:f>
              <c:numCache>
                <c:formatCode>General</c:formatCode>
                <c:ptCount val="5"/>
                <c:pt idx="0">
                  <c:v>107185.62999999996</c:v>
                </c:pt>
                <c:pt idx="1">
                  <c:v>103558.2</c:v>
                </c:pt>
                <c:pt idx="2">
                  <c:v>97262.589999999967</c:v>
                </c:pt>
                <c:pt idx="3">
                  <c:v>68701.319999999992</c:v>
                </c:pt>
                <c:pt idx="4">
                  <c:v>46447.44000000001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9-4099-A331-02E9107C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972991"/>
        <c:axId val="1099531823"/>
      </c:barChart>
      <c:catAx>
        <c:axId val="12639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31823"/>
        <c:crosses val="autoZero"/>
        <c:auto val="1"/>
        <c:lblAlgn val="ctr"/>
        <c:lblOffset val="100"/>
        <c:noMultiLvlLbl val="0"/>
      </c:catAx>
      <c:valAx>
        <c:axId val="1099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Dashboar.xlsx]Monthly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81033.03</c:v>
                </c:pt>
                <c:pt idx="1">
                  <c:v>99993.45</c:v>
                </c:pt>
                <c:pt idx="2">
                  <c:v>82363.459999999992</c:v>
                </c:pt>
                <c:pt idx="3">
                  <c:v>71708.080000000016</c:v>
                </c:pt>
                <c:pt idx="4">
                  <c:v>53145.469999999994</c:v>
                </c:pt>
                <c:pt idx="5">
                  <c:v>77859.179999999993</c:v>
                </c:pt>
                <c:pt idx="6">
                  <c:v>74202.51999999999</c:v>
                </c:pt>
                <c:pt idx="7">
                  <c:v>48876.779999999992</c:v>
                </c:pt>
                <c:pt idx="8">
                  <c:v>93955.6</c:v>
                </c:pt>
                <c:pt idx="9">
                  <c:v>79058.920000000013</c:v>
                </c:pt>
                <c:pt idx="10">
                  <c:v>90534.48000000001</c:v>
                </c:pt>
                <c:pt idx="11">
                  <c:v>69022.210000000006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7-46FB-A62D-EF4BA61C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819535"/>
        <c:axId val="1099464623"/>
      </c:lineChart>
      <c:catAx>
        <c:axId val="11058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64623"/>
        <c:crosses val="autoZero"/>
        <c:auto val="1"/>
        <c:lblAlgn val="ctr"/>
        <c:lblOffset val="100"/>
        <c:noMultiLvlLbl val="0"/>
      </c:catAx>
      <c:valAx>
        <c:axId val="10994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Dashboar.xlsx]Top Region!PivotTable3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Region'!$B$3</c:f>
              <c:strCache>
                <c:ptCount val="1"/>
                <c:pt idx="0">
                  <c:v>Sum of 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Region'!$A$4:$A$9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'Top Region'!$B$4:$B$9</c:f>
              <c:numCache>
                <c:formatCode>General</c:formatCode>
                <c:ptCount val="5"/>
                <c:pt idx="0">
                  <c:v>243479.63000000015</c:v>
                </c:pt>
                <c:pt idx="1">
                  <c:v>221610.20000000007</c:v>
                </c:pt>
                <c:pt idx="2">
                  <c:v>212272.59</c:v>
                </c:pt>
                <c:pt idx="3">
                  <c:v>144585.31999999998</c:v>
                </c:pt>
                <c:pt idx="4">
                  <c:v>99805.440000000002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A-41A5-9B2B-CF6086A7598C}"/>
            </c:ext>
          </c:extLst>
        </c:ser>
        <c:ser>
          <c:idx val="1"/>
          <c:order val="1"/>
          <c:tx>
            <c:strRef>
              <c:f>'Top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Region'!$A$4:$A$9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'Top Region'!$C$4:$C$9</c:f>
              <c:numCache>
                <c:formatCode>General</c:formatCode>
                <c:ptCount val="5"/>
                <c:pt idx="0">
                  <c:v>107185.62999999996</c:v>
                </c:pt>
                <c:pt idx="1">
                  <c:v>103558.2</c:v>
                </c:pt>
                <c:pt idx="2">
                  <c:v>97262.589999999967</c:v>
                </c:pt>
                <c:pt idx="3">
                  <c:v>68701.319999999992</c:v>
                </c:pt>
                <c:pt idx="4">
                  <c:v>46447.44000000001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A-41A5-9B2B-CF6086A75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972991"/>
        <c:axId val="1099531823"/>
      </c:barChart>
      <c:catAx>
        <c:axId val="12639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31823"/>
        <c:crosses val="autoZero"/>
        <c:auto val="1"/>
        <c:lblAlgn val="ctr"/>
        <c:lblOffset val="100"/>
        <c:noMultiLvlLbl val="0"/>
      </c:catAx>
      <c:valAx>
        <c:axId val="109953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Dashboar.xlsx]Top products!PivotTable2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products'!$A$4:$A$9</c:f>
              <c:strCache>
                <c:ptCount val="5"/>
                <c:pt idx="0">
                  <c:v>Laptop Pro 15</c:v>
                </c:pt>
                <c:pt idx="1">
                  <c:v>Whiteboard 4x3</c:v>
                </c:pt>
                <c:pt idx="2">
                  <c:v>27-inch 4K Monitor</c:v>
                </c:pt>
                <c:pt idx="3">
                  <c:v>Ergonomic Office Chair</c:v>
                </c:pt>
                <c:pt idx="4">
                  <c:v>Ergonomic Keyboard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132500</c:v>
                </c:pt>
                <c:pt idx="1">
                  <c:v>101778.68999999997</c:v>
                </c:pt>
                <c:pt idx="2">
                  <c:v>99397.159999999974</c:v>
                </c:pt>
                <c:pt idx="3">
                  <c:v>82197.260000000009</c:v>
                </c:pt>
                <c:pt idx="4">
                  <c:v>82160.869999999981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F-4447-9647-604E226C3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979951"/>
        <c:axId val="1099566383"/>
      </c:barChart>
      <c:catAx>
        <c:axId val="126397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66383"/>
        <c:crosses val="autoZero"/>
        <c:auto val="1"/>
        <c:lblAlgn val="ctr"/>
        <c:lblOffset val="100"/>
        <c:noMultiLvlLbl val="0"/>
      </c:catAx>
      <c:valAx>
        <c:axId val="109956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Dashboar.xlsx]Monthly Profit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Profit Analysis'!$A$4:$A$16</c:f>
              <c:strCache>
                <c:ptCount val="12"/>
                <c:pt idx="0">
                  <c:v>May-2025</c:v>
                </c:pt>
                <c:pt idx="1">
                  <c:v>Aug-2025</c:v>
                </c:pt>
                <c:pt idx="2">
                  <c:v>Oct-2025</c:v>
                </c:pt>
                <c:pt idx="3">
                  <c:v>Apr-2025</c:v>
                </c:pt>
                <c:pt idx="4">
                  <c:v>Dec-2025</c:v>
                </c:pt>
                <c:pt idx="5">
                  <c:v>Jul-2025</c:v>
                </c:pt>
                <c:pt idx="6">
                  <c:v>Nov-2025</c:v>
                </c:pt>
                <c:pt idx="7">
                  <c:v>Jun-2025</c:v>
                </c:pt>
                <c:pt idx="8">
                  <c:v>Feb-2025</c:v>
                </c:pt>
                <c:pt idx="9">
                  <c:v>Sep-2025</c:v>
                </c:pt>
                <c:pt idx="10">
                  <c:v>Jan-2025</c:v>
                </c:pt>
                <c:pt idx="11">
                  <c:v>Mar-2025</c:v>
                </c:pt>
              </c:strCache>
            </c:strRef>
          </c:cat>
          <c:val>
            <c:numRef>
              <c:f>'Monthly Profit Analysis'!$B$4:$B$16</c:f>
              <c:numCache>
                <c:formatCode>General</c:formatCode>
                <c:ptCount val="12"/>
                <c:pt idx="0">
                  <c:v>44660.599999999991</c:v>
                </c:pt>
                <c:pt idx="1">
                  <c:v>44480.450000000004</c:v>
                </c:pt>
                <c:pt idx="2">
                  <c:v>40558.48000000001</c:v>
                </c:pt>
                <c:pt idx="3">
                  <c:v>37882.03</c:v>
                </c:pt>
                <c:pt idx="4">
                  <c:v>36406.46</c:v>
                </c:pt>
                <c:pt idx="5">
                  <c:v>35592.18</c:v>
                </c:pt>
                <c:pt idx="6">
                  <c:v>35424.92</c:v>
                </c:pt>
                <c:pt idx="7">
                  <c:v>34531.519999999997</c:v>
                </c:pt>
                <c:pt idx="8">
                  <c:v>33984.079999999994</c:v>
                </c:pt>
                <c:pt idx="9">
                  <c:v>33774.210000000006</c:v>
                </c:pt>
                <c:pt idx="10">
                  <c:v>24018.47</c:v>
                </c:pt>
                <c:pt idx="11">
                  <c:v>21841.78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C-4558-B53F-61BD0E4D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286351"/>
        <c:axId val="1099458863"/>
      </c:barChart>
      <c:catAx>
        <c:axId val="12672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58863"/>
        <c:crosses val="autoZero"/>
        <c:auto val="1"/>
        <c:lblAlgn val="ctr"/>
        <c:lblOffset val="100"/>
        <c:noMultiLvlLbl val="0"/>
      </c:catAx>
      <c:valAx>
        <c:axId val="109945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Dashboar.xlsx]Monthly Profit 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Profit Analysis'!$A$4:$A$16</c:f>
              <c:strCache>
                <c:ptCount val="12"/>
                <c:pt idx="0">
                  <c:v>May-2025</c:v>
                </c:pt>
                <c:pt idx="1">
                  <c:v>Aug-2025</c:v>
                </c:pt>
                <c:pt idx="2">
                  <c:v>Oct-2025</c:v>
                </c:pt>
                <c:pt idx="3">
                  <c:v>Apr-2025</c:v>
                </c:pt>
                <c:pt idx="4">
                  <c:v>Dec-2025</c:v>
                </c:pt>
                <c:pt idx="5">
                  <c:v>Jul-2025</c:v>
                </c:pt>
                <c:pt idx="6">
                  <c:v>Nov-2025</c:v>
                </c:pt>
                <c:pt idx="7">
                  <c:v>Jun-2025</c:v>
                </c:pt>
                <c:pt idx="8">
                  <c:v>Feb-2025</c:v>
                </c:pt>
                <c:pt idx="9">
                  <c:v>Sep-2025</c:v>
                </c:pt>
                <c:pt idx="10">
                  <c:v>Jan-2025</c:v>
                </c:pt>
                <c:pt idx="11">
                  <c:v>Mar-2025</c:v>
                </c:pt>
              </c:strCache>
            </c:strRef>
          </c:cat>
          <c:val>
            <c:numRef>
              <c:f>'Monthly Profit Analysis'!$B$4:$B$16</c:f>
              <c:numCache>
                <c:formatCode>General</c:formatCode>
                <c:ptCount val="12"/>
                <c:pt idx="0">
                  <c:v>44660.599999999991</c:v>
                </c:pt>
                <c:pt idx="1">
                  <c:v>44480.450000000004</c:v>
                </c:pt>
                <c:pt idx="2">
                  <c:v>40558.48000000001</c:v>
                </c:pt>
                <c:pt idx="3">
                  <c:v>37882.03</c:v>
                </c:pt>
                <c:pt idx="4">
                  <c:v>36406.46</c:v>
                </c:pt>
                <c:pt idx="5">
                  <c:v>35592.18</c:v>
                </c:pt>
                <c:pt idx="6">
                  <c:v>35424.92</c:v>
                </c:pt>
                <c:pt idx="7">
                  <c:v>34531.519999999997</c:v>
                </c:pt>
                <c:pt idx="8">
                  <c:v>33984.079999999994</c:v>
                </c:pt>
                <c:pt idx="9">
                  <c:v>33774.210000000006</c:v>
                </c:pt>
                <c:pt idx="10">
                  <c:v>24018.47</c:v>
                </c:pt>
                <c:pt idx="11">
                  <c:v>21841.78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2-4289-8579-1BAEEE26A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286351"/>
        <c:axId val="1099458863"/>
      </c:barChart>
      <c:catAx>
        <c:axId val="12672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58863"/>
        <c:crosses val="autoZero"/>
        <c:auto val="1"/>
        <c:lblAlgn val="ctr"/>
        <c:lblOffset val="100"/>
        <c:noMultiLvlLbl val="0"/>
      </c:catAx>
      <c:valAx>
        <c:axId val="109945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140970</xdr:rowOff>
    </xdr:from>
    <xdr:to>
      <xdr:col>12</xdr:col>
      <xdr:colOff>144780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6BAC2-BC46-69DE-80E1-ADE0AE5A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11430</xdr:rowOff>
    </xdr:from>
    <xdr:to>
      <xdr:col>10</xdr:col>
      <xdr:colOff>381000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E5F83-EE59-CEA1-2E10-4DD2F6433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163830</xdr:rowOff>
    </xdr:from>
    <xdr:to>
      <xdr:col>11</xdr:col>
      <xdr:colOff>266700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14B20-44C8-2581-D6FC-A571A37C4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3</xdr:row>
      <xdr:rowOff>0</xdr:rowOff>
    </xdr:from>
    <xdr:to>
      <xdr:col>3</xdr:col>
      <xdr:colOff>563880</xdr:colOff>
      <xdr:row>7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8D6116-D655-767A-2FDA-26AEFAF0E70F}"/>
            </a:ext>
          </a:extLst>
        </xdr:cNvPr>
        <xdr:cNvSpPr/>
      </xdr:nvSpPr>
      <xdr:spPr>
        <a:xfrm>
          <a:off x="579120" y="548640"/>
          <a:ext cx="1813560" cy="90678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tx1"/>
              </a:solidFill>
            </a:rPr>
            <a:t>Total</a:t>
          </a:r>
          <a:r>
            <a:rPr lang="en-IN" sz="1400" baseline="0">
              <a:solidFill>
                <a:schemeClr val="tx1"/>
              </a:solidFill>
            </a:rPr>
            <a:t>  sales</a:t>
          </a: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921753.18</a:t>
          </a:r>
          <a:r>
            <a:rPr lang="en-IN" sz="1400">
              <a:solidFill>
                <a:schemeClr val="tx1"/>
              </a:solidFill>
              <a:effectLst/>
            </a:rPr>
            <a:t> </a:t>
          </a:r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22860</xdr:colOff>
      <xdr:row>2</xdr:row>
      <xdr:rowOff>175260</xdr:rowOff>
    </xdr:from>
    <xdr:to>
      <xdr:col>6</xdr:col>
      <xdr:colOff>1341120</xdr:colOff>
      <xdr:row>8</xdr:row>
      <xdr:rowOff>15240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FE56F1-6BF0-4D2A-B519-445E6AA19A68}"/>
            </a:ext>
          </a:extLst>
        </xdr:cNvPr>
        <xdr:cNvSpPr/>
      </xdr:nvSpPr>
      <xdr:spPr>
        <a:xfrm>
          <a:off x="3070860" y="541020"/>
          <a:ext cx="1927860" cy="93726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tx1"/>
              </a:solidFill>
            </a:rPr>
            <a:t>Total</a:t>
          </a:r>
          <a:r>
            <a:rPr lang="en-IN" sz="1400" baseline="0">
              <a:solidFill>
                <a:schemeClr val="tx1"/>
              </a:solidFill>
            </a:rPr>
            <a:t>  Profit</a:t>
          </a: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423155.2</a:t>
          </a:r>
          <a:r>
            <a:rPr lang="en-IN" sz="1400">
              <a:effectLst/>
            </a:rPr>
            <a:t> </a:t>
          </a:r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7620</xdr:colOff>
      <xdr:row>2</xdr:row>
      <xdr:rowOff>152400</xdr:rowOff>
    </xdr:from>
    <xdr:to>
      <xdr:col>11</xdr:col>
      <xdr:colOff>106680</xdr:colOff>
      <xdr:row>7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ED3A30-017C-45FE-94C0-2F84E817262F}"/>
            </a:ext>
          </a:extLst>
        </xdr:cNvPr>
        <xdr:cNvSpPr/>
      </xdr:nvSpPr>
      <xdr:spPr>
        <a:xfrm>
          <a:off x="5623560" y="518160"/>
          <a:ext cx="1927860" cy="93726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aseline="0">
              <a:solidFill>
                <a:schemeClr val="tx1"/>
              </a:solidFill>
            </a:rPr>
            <a:t>Top Region</a:t>
          </a: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r>
            <a:rPr lang="en-IN" sz="1400" baseline="0">
              <a:solidFill>
                <a:schemeClr val="tx1"/>
              </a:solidFill>
            </a:rPr>
            <a:t>West</a:t>
          </a: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</xdr:colOff>
      <xdr:row>2</xdr:row>
      <xdr:rowOff>129540</xdr:rowOff>
    </xdr:from>
    <xdr:to>
      <xdr:col>15</xdr:col>
      <xdr:colOff>121920</xdr:colOff>
      <xdr:row>7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B4F9AC-0307-403C-96D1-A29D3BC17EEB}"/>
            </a:ext>
          </a:extLst>
        </xdr:cNvPr>
        <xdr:cNvSpPr/>
      </xdr:nvSpPr>
      <xdr:spPr>
        <a:xfrm>
          <a:off x="8077200" y="495300"/>
          <a:ext cx="1927860" cy="93726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aseline="0">
              <a:solidFill>
                <a:schemeClr val="tx1"/>
              </a:solidFill>
            </a:rPr>
            <a:t>Top Product</a:t>
          </a:r>
        </a:p>
        <a:p>
          <a:pPr algn="ctr"/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Laptop Pro 15</a:t>
          </a:r>
          <a:r>
            <a:rPr lang="en-IN" sz="1400">
              <a:effectLst/>
            </a:rPr>
            <a:t> </a:t>
          </a:r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 baseline="0">
            <a:solidFill>
              <a:schemeClr val="tx1"/>
            </a:solidFill>
          </a:endParaRPr>
        </a:p>
        <a:p>
          <a:pPr algn="ctr"/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7</xdr:col>
      <xdr:colOff>175260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F8BFA5-375C-4413-BE04-404DBE84D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304800</xdr:colOff>
      <xdr:row>25</xdr:row>
      <xdr:rowOff>165296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C6A14E-7C84-4680-9746-B587D9D83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7</xdr:col>
      <xdr:colOff>175260</xdr:colOff>
      <xdr:row>44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A2CA57-E3AD-4A8A-AC54-DD42207F5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304800</xdr:colOff>
      <xdr:row>44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E14B60-5CB7-4AE8-B7CB-83B12AF9A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133350</xdr:rowOff>
    </xdr:from>
    <xdr:to>
      <xdr:col>11</xdr:col>
      <xdr:colOff>571500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EAD0D-08EC-87FF-BF31-63753E6E1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h Baskar" refreshedDate="46252.647258912039" createdVersion="8" refreshedVersion="8" minRefreshableVersion="3" recordCount="539" xr:uid="{9E947B64-1E7A-4E24-9C97-B84F2D7A73E3}">
  <cacheSource type="worksheet">
    <worksheetSource ref="A1:M1048576" sheet="Sales data"/>
  </cacheSource>
  <cacheFields count="13">
    <cacheField name="Date" numFmtId="0">
      <sharedItems containsNonDate="0" containsDate="1" containsString="0" containsBlank="1" minDate="2025-01-01T00:00:00" maxDate="2026-01-01T00:00:00"/>
    </cacheField>
    <cacheField name="Salesperson" numFmtId="0">
      <sharedItems containsBlank="1"/>
    </cacheField>
    <cacheField name="Region" numFmtId="0">
      <sharedItems containsBlank="1" count="6">
        <s v="East"/>
        <s v="North"/>
        <s v="South"/>
        <s v="West"/>
        <s v="Central"/>
        <m/>
      </sharedItems>
    </cacheField>
    <cacheField name="Product" numFmtId="0">
      <sharedItems containsBlank="1" count="16">
        <s v="Standing Desk"/>
        <s v="Smart RGB Light Strip"/>
        <s v="3-Drawer Filing Cabinet"/>
        <s v="Heavy-Duty Stapler"/>
        <s v="Wireless Mouse"/>
        <s v="Laptop Pro 15"/>
        <s v="Cross-Cut Paper Shredder"/>
        <s v="LED Architect Desk Lamp"/>
        <s v="Whiteboard 4x3"/>
        <s v="USB-C Docking Station"/>
        <s v="Ergonomic Office Chair"/>
        <s v="27-inch 4K Monitor"/>
        <s v="Ergonomic Keyboard"/>
        <s v="Executive Desk"/>
        <s v="Noise-Canceling Headset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49"/>
    </cacheField>
    <cacheField name="Unit Price" numFmtId="0">
      <sharedItems containsString="0" containsBlank="1" containsNumber="1" minValue="24.99" maxValue="1250"/>
    </cacheField>
    <cacheField name="Cost" numFmtId="0">
      <sharedItems containsString="0" containsBlank="1" containsNumber="1" containsInteger="1" minValue="10" maxValue="850"/>
    </cacheField>
    <cacheField name="Gross sales" numFmtId="0">
      <sharedItems containsString="0" containsBlank="1" containsNumber="1" minValue="119.99" maxValue="6250"/>
    </cacheField>
    <cacheField name="Total cost" numFmtId="0">
      <sharedItems containsString="0" containsBlank="1" containsNumber="1" containsInteger="1" minValue="50" maxValue="4250"/>
    </cacheField>
    <cacheField name="Profit" numFmtId="0">
      <sharedItems containsString="0" containsBlank="1" containsNumber="1" minValue="59.989999999999995" maxValue="2351.5099999999993"/>
    </cacheField>
    <cacheField name="Profit margin" numFmtId="0">
      <sharedItems containsString="0" containsBlank="1" containsNumber="1" minValue="0.32" maxValue="0.59988568162332101"/>
    </cacheField>
    <cacheField name="Month" numFmtId="0">
      <sharedItems containsBlank="1" count="13"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">
  <r>
    <d v="2025-01-01T00:00:00"/>
    <s v="Amanda Martinez"/>
    <x v="0"/>
    <x v="0"/>
    <s v="Furniture"/>
    <n v="2"/>
    <n v="599.99"/>
    <n v="360"/>
    <n v="1199.98"/>
    <n v="720"/>
    <n v="479.98"/>
    <n v="0.39998999983333056"/>
    <x v="0"/>
  </r>
  <r>
    <d v="2025-01-02T00:00:00"/>
    <s v="Michael Scott"/>
    <x v="0"/>
    <x v="1"/>
    <s v="Lighting"/>
    <n v="32"/>
    <n v="34.99"/>
    <n v="14"/>
    <n v="1119.68"/>
    <n v="448"/>
    <n v="671.68000000000006"/>
    <n v="0.59988568162332101"/>
    <x v="0"/>
  </r>
  <r>
    <d v="2025-01-02T00:00:00"/>
    <s v="Emily Chen"/>
    <x v="1"/>
    <x v="2"/>
    <s v="Furniture"/>
    <n v="1"/>
    <n v="179.99"/>
    <n v="95"/>
    <n v="179.99"/>
    <n v="95"/>
    <n v="84.990000000000009"/>
    <n v="0.47219289960553368"/>
    <x v="0"/>
  </r>
  <r>
    <d v="2025-01-02T00:00:00"/>
    <s v="David Miller"/>
    <x v="2"/>
    <x v="3"/>
    <s v="Office Supplies"/>
    <n v="34"/>
    <n v="24.99"/>
    <n v="10"/>
    <n v="849.66"/>
    <n v="340"/>
    <n v="509.65999999999997"/>
    <n v="0.59983993597438978"/>
    <x v="0"/>
  </r>
  <r>
    <d v="2025-01-04T00:00:00"/>
    <s v="Robert Chen"/>
    <x v="3"/>
    <x v="4"/>
    <s v="Electronics"/>
    <n v="42"/>
    <n v="29.99"/>
    <n v="12"/>
    <n v="1259.58"/>
    <n v="504"/>
    <n v="755.57999999999993"/>
    <n v="0.59986662220740239"/>
    <x v="0"/>
  </r>
  <r>
    <d v="2025-01-04T00:00:00"/>
    <s v="Robert Chen"/>
    <x v="3"/>
    <x v="5"/>
    <s v="Electronics"/>
    <n v="3"/>
    <n v="1250"/>
    <n v="850"/>
    <n v="3750"/>
    <n v="2550"/>
    <n v="1200"/>
    <n v="0.32"/>
    <x v="0"/>
  </r>
  <r>
    <d v="2025-01-05T00:00:00"/>
    <s v="Sarah Jenkins"/>
    <x v="3"/>
    <x v="3"/>
    <s v="Office Supplies"/>
    <n v="8"/>
    <n v="24.99"/>
    <n v="10"/>
    <n v="199.92"/>
    <n v="80"/>
    <n v="119.91999999999999"/>
    <n v="0.59983993597438978"/>
    <x v="0"/>
  </r>
  <r>
    <d v="2025-01-05T00:00:00"/>
    <s v="David Miller"/>
    <x v="2"/>
    <x v="2"/>
    <s v="Furniture"/>
    <n v="1"/>
    <n v="179.99"/>
    <n v="95"/>
    <n v="179.99"/>
    <n v="95"/>
    <n v="84.990000000000009"/>
    <n v="0.47219289960553368"/>
    <x v="0"/>
  </r>
  <r>
    <d v="2025-01-06T00:00:00"/>
    <s v="Robert Chen"/>
    <x v="3"/>
    <x v="6"/>
    <s v="Office Supplies"/>
    <n v="12"/>
    <n v="79.989999999999995"/>
    <n v="40"/>
    <n v="959.87999999999988"/>
    <n v="480"/>
    <n v="479.87999999999988"/>
    <n v="0.49993749218652328"/>
    <x v="0"/>
  </r>
  <r>
    <d v="2025-01-09T00:00:00"/>
    <s v="David Miller"/>
    <x v="2"/>
    <x v="7"/>
    <s v="Lighting"/>
    <n v="33"/>
    <n v="49.99"/>
    <n v="22"/>
    <n v="1649.67"/>
    <n v="726"/>
    <n v="923.67000000000007"/>
    <n v="0.55991198239647932"/>
    <x v="0"/>
  </r>
  <r>
    <d v="2025-01-09T00:00:00"/>
    <s v="Michael Scott"/>
    <x v="0"/>
    <x v="0"/>
    <s v="Furniture"/>
    <n v="3"/>
    <n v="599.99"/>
    <n v="360"/>
    <n v="1799.97"/>
    <n v="1080"/>
    <n v="719.97"/>
    <n v="0.39998999983333056"/>
    <x v="0"/>
  </r>
  <r>
    <d v="2025-01-10T00:00:00"/>
    <s v="Sarah Jenkins"/>
    <x v="3"/>
    <x v="2"/>
    <s v="Furniture"/>
    <n v="10"/>
    <n v="179.99"/>
    <n v="95"/>
    <n v="1799.9"/>
    <n v="950"/>
    <n v="849.90000000000009"/>
    <n v="0.47219289960553368"/>
    <x v="0"/>
  </r>
  <r>
    <d v="2025-01-13T00:00:00"/>
    <s v="David Miller"/>
    <x v="2"/>
    <x v="0"/>
    <s v="Furniture"/>
    <n v="2"/>
    <n v="599.99"/>
    <n v="360"/>
    <n v="1199.98"/>
    <n v="720"/>
    <n v="479.98"/>
    <n v="0.39998999983333056"/>
    <x v="0"/>
  </r>
  <r>
    <d v="2025-01-13T00:00:00"/>
    <s v="Emily Chen"/>
    <x v="1"/>
    <x v="8"/>
    <s v="Office Supplies"/>
    <n v="23"/>
    <n v="89.99"/>
    <n v="42"/>
    <n v="2069.77"/>
    <n v="966"/>
    <n v="1103.77"/>
    <n v="0.53328147571952433"/>
    <x v="0"/>
  </r>
  <r>
    <d v="2025-01-14T00:00:00"/>
    <s v="Emily Chen"/>
    <x v="1"/>
    <x v="0"/>
    <s v="Furniture"/>
    <n v="2"/>
    <n v="599.99"/>
    <n v="360"/>
    <n v="1199.98"/>
    <n v="720"/>
    <n v="479.98"/>
    <n v="0.39998999983333056"/>
    <x v="0"/>
  </r>
  <r>
    <d v="2025-01-15T00:00:00"/>
    <s v="Jessica Taylor"/>
    <x v="4"/>
    <x v="9"/>
    <s v="Electronics"/>
    <n v="12"/>
    <n v="119.99"/>
    <n v="60"/>
    <n v="1439.8799999999999"/>
    <n v="720"/>
    <n v="719.87999999999988"/>
    <n v="0.49995832986082167"/>
    <x v="0"/>
  </r>
  <r>
    <d v="2025-01-15T00:00:00"/>
    <s v="Sarah Jenkins"/>
    <x v="3"/>
    <x v="8"/>
    <s v="Office Supplies"/>
    <n v="37"/>
    <n v="89.99"/>
    <n v="42"/>
    <n v="3329.6299999999997"/>
    <n v="1554"/>
    <n v="1775.6299999999997"/>
    <n v="0.53328147571952433"/>
    <x v="0"/>
  </r>
  <r>
    <d v="2025-01-16T00:00:00"/>
    <s v="Sarah Jenkins"/>
    <x v="3"/>
    <x v="10"/>
    <s v="Furniture"/>
    <n v="7"/>
    <n v="299.99"/>
    <n v="160"/>
    <n v="2099.9300000000003"/>
    <n v="1120"/>
    <n v="979.93000000000029"/>
    <n v="0.4666488882962766"/>
    <x v="0"/>
  </r>
  <r>
    <d v="2025-01-17T00:00:00"/>
    <s v="Jessica Taylor"/>
    <x v="4"/>
    <x v="3"/>
    <s v="Office Supplies"/>
    <n v="32"/>
    <n v="24.99"/>
    <n v="10"/>
    <n v="799.68"/>
    <n v="320"/>
    <n v="479.67999999999995"/>
    <n v="0.59983993597438978"/>
    <x v="0"/>
  </r>
  <r>
    <d v="2025-01-18T00:00:00"/>
    <s v="David Miller"/>
    <x v="2"/>
    <x v="7"/>
    <s v="Lighting"/>
    <n v="36"/>
    <n v="49.99"/>
    <n v="22"/>
    <n v="1799.64"/>
    <n v="792"/>
    <n v="1007.6400000000001"/>
    <n v="0.55991198239647932"/>
    <x v="0"/>
  </r>
  <r>
    <d v="2025-01-20T00:00:00"/>
    <s v="Sarah Jenkins"/>
    <x v="3"/>
    <x v="8"/>
    <s v="Office Supplies"/>
    <n v="11"/>
    <n v="89.99"/>
    <n v="42"/>
    <n v="989.89"/>
    <n v="462"/>
    <n v="527.89"/>
    <n v="0.53328147571952433"/>
    <x v="0"/>
  </r>
  <r>
    <d v="2025-01-21T00:00:00"/>
    <s v="Emily Chen"/>
    <x v="1"/>
    <x v="6"/>
    <s v="Office Supplies"/>
    <n v="33"/>
    <n v="79.989999999999995"/>
    <n v="40"/>
    <n v="2639.6699999999996"/>
    <n v="1320"/>
    <n v="1319.6699999999996"/>
    <n v="0.49993749218652322"/>
    <x v="0"/>
  </r>
  <r>
    <d v="2025-01-21T00:00:00"/>
    <s v="Emily Chen"/>
    <x v="1"/>
    <x v="5"/>
    <s v="Electronics"/>
    <n v="1"/>
    <n v="1250"/>
    <n v="850"/>
    <n v="1250"/>
    <n v="850"/>
    <n v="400"/>
    <n v="0.32"/>
    <x v="0"/>
  </r>
  <r>
    <d v="2025-01-22T00:00:00"/>
    <s v="Robert Chen"/>
    <x v="3"/>
    <x v="2"/>
    <s v="Furniture"/>
    <n v="9"/>
    <n v="179.99"/>
    <n v="95"/>
    <n v="1619.91"/>
    <n v="855"/>
    <n v="764.91000000000008"/>
    <n v="0.47219289960553368"/>
    <x v="0"/>
  </r>
  <r>
    <d v="2025-01-22T00:00:00"/>
    <s v="Michael Scott"/>
    <x v="0"/>
    <x v="11"/>
    <s v="Electronics"/>
    <n v="7"/>
    <n v="349.99"/>
    <n v="210"/>
    <n v="2449.9300000000003"/>
    <n v="1470"/>
    <n v="979.93000000000029"/>
    <n v="0.39998285665304728"/>
    <x v="0"/>
  </r>
  <r>
    <d v="2025-01-23T00:00:00"/>
    <s v="Sarah Jenkins"/>
    <x v="3"/>
    <x v="5"/>
    <s v="Electronics"/>
    <n v="3"/>
    <n v="1250"/>
    <n v="850"/>
    <n v="3750"/>
    <n v="2550"/>
    <n v="1200"/>
    <n v="0.32"/>
    <x v="0"/>
  </r>
  <r>
    <d v="2025-01-26T00:00:00"/>
    <s v="David Miller"/>
    <x v="2"/>
    <x v="10"/>
    <s v="Furniture"/>
    <n v="8"/>
    <n v="299.99"/>
    <n v="160"/>
    <n v="2399.92"/>
    <n v="1280"/>
    <n v="1119.92"/>
    <n v="0.46664888829627654"/>
    <x v="0"/>
  </r>
  <r>
    <d v="2025-01-27T00:00:00"/>
    <s v="Jessica Taylor"/>
    <x v="4"/>
    <x v="5"/>
    <s v="Electronics"/>
    <n v="3"/>
    <n v="1250"/>
    <n v="850"/>
    <n v="3750"/>
    <n v="2550"/>
    <n v="1200"/>
    <n v="0.32"/>
    <x v="0"/>
  </r>
  <r>
    <d v="2025-01-28T00:00:00"/>
    <s v="Jessica Taylor"/>
    <x v="4"/>
    <x v="12"/>
    <s v="Electronics"/>
    <n v="12"/>
    <n v="89.99"/>
    <n v="45"/>
    <n v="1079.8799999999999"/>
    <n v="540"/>
    <n v="539.87999999999988"/>
    <n v="0.49994443827091894"/>
    <x v="0"/>
  </r>
  <r>
    <d v="2025-01-28T00:00:00"/>
    <s v="David Miller"/>
    <x v="2"/>
    <x v="6"/>
    <s v="Office Supplies"/>
    <n v="41"/>
    <n v="79.989999999999995"/>
    <n v="40"/>
    <n v="3279.5899999999997"/>
    <n v="1640"/>
    <n v="1639.5899999999997"/>
    <n v="0.49993749218652328"/>
    <x v="0"/>
  </r>
  <r>
    <d v="2025-01-29T00:00:00"/>
    <s v="Amanda Martinez"/>
    <x v="0"/>
    <x v="11"/>
    <s v="Electronics"/>
    <n v="3"/>
    <n v="349.99"/>
    <n v="210"/>
    <n v="1049.97"/>
    <n v="630"/>
    <n v="419.97"/>
    <n v="0.39998285665304723"/>
    <x v="0"/>
  </r>
  <r>
    <d v="2025-02-02T00:00:00"/>
    <s v="James Wilson"/>
    <x v="1"/>
    <x v="8"/>
    <s v="Office Supplies"/>
    <n v="37"/>
    <n v="89.99"/>
    <n v="42"/>
    <n v="3329.6299999999997"/>
    <n v="1554"/>
    <n v="1775.6299999999997"/>
    <n v="0.53328147571952433"/>
    <x v="1"/>
  </r>
  <r>
    <d v="2025-02-02T00:00:00"/>
    <s v="Michael Scott"/>
    <x v="0"/>
    <x v="8"/>
    <s v="Office Supplies"/>
    <n v="32"/>
    <n v="89.99"/>
    <n v="42"/>
    <n v="2879.68"/>
    <n v="1344"/>
    <n v="1535.6799999999998"/>
    <n v="0.53328147571952433"/>
    <x v="1"/>
  </r>
  <r>
    <d v="2025-02-04T00:00:00"/>
    <s v="Jessica Taylor"/>
    <x v="4"/>
    <x v="8"/>
    <s v="Office Supplies"/>
    <n v="12"/>
    <n v="89.99"/>
    <n v="42"/>
    <n v="1079.8799999999999"/>
    <n v="504"/>
    <n v="575.87999999999988"/>
    <n v="0.53328147571952433"/>
    <x v="1"/>
  </r>
  <r>
    <d v="2025-02-04T00:00:00"/>
    <s v="Sarah Jenkins"/>
    <x v="3"/>
    <x v="10"/>
    <s v="Furniture"/>
    <n v="2"/>
    <n v="299.99"/>
    <n v="160"/>
    <n v="599.98"/>
    <n v="320"/>
    <n v="279.98"/>
    <n v="0.46664888829627654"/>
    <x v="1"/>
  </r>
  <r>
    <d v="2025-02-04T00:00:00"/>
    <s v="Michael Scott"/>
    <x v="0"/>
    <x v="9"/>
    <s v="Electronics"/>
    <n v="3"/>
    <n v="119.99"/>
    <n v="60"/>
    <n v="359.96999999999997"/>
    <n v="180"/>
    <n v="179.96999999999997"/>
    <n v="0.49995832986082167"/>
    <x v="1"/>
  </r>
  <r>
    <d v="2025-02-05T00:00:00"/>
    <s v="Sarah Jenkins"/>
    <x v="3"/>
    <x v="3"/>
    <s v="Office Supplies"/>
    <n v="36"/>
    <n v="24.99"/>
    <n v="10"/>
    <n v="899.64"/>
    <n v="360"/>
    <n v="539.64"/>
    <n v="0.59983993597438978"/>
    <x v="1"/>
  </r>
  <r>
    <d v="2025-02-05T00:00:00"/>
    <s v="Amanda Martinez"/>
    <x v="0"/>
    <x v="2"/>
    <s v="Furniture"/>
    <n v="8"/>
    <n v="179.99"/>
    <n v="95"/>
    <n v="1439.92"/>
    <n v="760"/>
    <n v="679.92000000000007"/>
    <n v="0.47219289960553368"/>
    <x v="1"/>
  </r>
  <r>
    <d v="2025-02-06T00:00:00"/>
    <s v="Emily Chen"/>
    <x v="1"/>
    <x v="1"/>
    <s v="Lighting"/>
    <n v="18"/>
    <n v="34.99"/>
    <n v="14"/>
    <n v="629.82000000000005"/>
    <n v="252"/>
    <n v="377.82000000000005"/>
    <n v="0.59988568162332101"/>
    <x v="1"/>
  </r>
  <r>
    <d v="2025-02-06T00:00:00"/>
    <s v="Michael Scott"/>
    <x v="0"/>
    <x v="13"/>
    <s v="Furniture"/>
    <n v="3"/>
    <n v="850"/>
    <n v="520"/>
    <n v="2550"/>
    <n v="1560"/>
    <n v="990"/>
    <n v="0.38823529411764707"/>
    <x v="1"/>
  </r>
  <r>
    <d v="2025-02-07T00:00:00"/>
    <s v="Robert Chen"/>
    <x v="3"/>
    <x v="3"/>
    <s v="Office Supplies"/>
    <n v="20"/>
    <n v="24.99"/>
    <n v="10"/>
    <n v="499.79999999999995"/>
    <n v="200"/>
    <n v="299.79999999999995"/>
    <n v="0.59983993597438967"/>
    <x v="1"/>
  </r>
  <r>
    <d v="2025-02-08T00:00:00"/>
    <s v="Jessica Taylor"/>
    <x v="4"/>
    <x v="10"/>
    <s v="Furniture"/>
    <n v="4"/>
    <n v="299.99"/>
    <n v="160"/>
    <n v="1199.96"/>
    <n v="640"/>
    <n v="559.96"/>
    <n v="0.46664888829627654"/>
    <x v="1"/>
  </r>
  <r>
    <d v="2025-02-08T00:00:00"/>
    <s v="Michael Scott"/>
    <x v="0"/>
    <x v="4"/>
    <s v="Electronics"/>
    <n v="41"/>
    <n v="29.99"/>
    <n v="12"/>
    <n v="1229.5899999999999"/>
    <n v="492"/>
    <n v="737.58999999999992"/>
    <n v="0.59986662220740239"/>
    <x v="1"/>
  </r>
  <r>
    <d v="2025-02-08T00:00:00"/>
    <s v="Michael Scott"/>
    <x v="0"/>
    <x v="6"/>
    <s v="Office Supplies"/>
    <n v="25"/>
    <n v="79.989999999999995"/>
    <n v="40"/>
    <n v="1999.7499999999998"/>
    <n v="1000"/>
    <n v="999.74999999999977"/>
    <n v="0.49993749218652328"/>
    <x v="1"/>
  </r>
  <r>
    <d v="2025-02-10T00:00:00"/>
    <s v="Michael Scott"/>
    <x v="0"/>
    <x v="2"/>
    <s v="Furniture"/>
    <n v="14"/>
    <n v="179.99"/>
    <n v="95"/>
    <n v="2519.86"/>
    <n v="1330"/>
    <n v="1189.8600000000001"/>
    <n v="0.47219289960553368"/>
    <x v="1"/>
  </r>
  <r>
    <d v="2025-02-10T00:00:00"/>
    <s v="James Wilson"/>
    <x v="1"/>
    <x v="3"/>
    <s v="Office Supplies"/>
    <n v="35"/>
    <n v="24.99"/>
    <n v="10"/>
    <n v="874.65"/>
    <n v="350"/>
    <n v="524.65"/>
    <n v="0.59983993597438978"/>
    <x v="1"/>
  </r>
  <r>
    <d v="2025-02-11T00:00:00"/>
    <s v="Michael Scott"/>
    <x v="0"/>
    <x v="7"/>
    <s v="Lighting"/>
    <n v="22"/>
    <n v="49.99"/>
    <n v="22"/>
    <n v="1099.78"/>
    <n v="484"/>
    <n v="615.78"/>
    <n v="0.55991198239647932"/>
    <x v="1"/>
  </r>
  <r>
    <d v="2025-02-13T00:00:00"/>
    <s v="Sarah Jenkins"/>
    <x v="3"/>
    <x v="10"/>
    <s v="Furniture"/>
    <n v="7"/>
    <n v="299.99"/>
    <n v="160"/>
    <n v="2099.9300000000003"/>
    <n v="1120"/>
    <n v="979.93000000000029"/>
    <n v="0.4666488882962766"/>
    <x v="1"/>
  </r>
  <r>
    <d v="2025-02-13T00:00:00"/>
    <s v="Emily Chen"/>
    <x v="1"/>
    <x v="12"/>
    <s v="Electronics"/>
    <n v="14"/>
    <n v="89.99"/>
    <n v="45"/>
    <n v="1259.8599999999999"/>
    <n v="630"/>
    <n v="629.8599999999999"/>
    <n v="0.49994443827091894"/>
    <x v="1"/>
  </r>
  <r>
    <d v="2025-02-14T00:00:00"/>
    <s v="Amanda Martinez"/>
    <x v="0"/>
    <x v="13"/>
    <s v="Furniture"/>
    <n v="1"/>
    <n v="850"/>
    <n v="520"/>
    <n v="850"/>
    <n v="520"/>
    <n v="330"/>
    <n v="0.38823529411764707"/>
    <x v="1"/>
  </r>
  <r>
    <d v="2025-02-15T00:00:00"/>
    <s v="David Miller"/>
    <x v="2"/>
    <x v="12"/>
    <s v="Electronics"/>
    <n v="27"/>
    <n v="89.99"/>
    <n v="45"/>
    <n v="2429.73"/>
    <n v="1215"/>
    <n v="1214.73"/>
    <n v="0.499944438270919"/>
    <x v="1"/>
  </r>
  <r>
    <d v="2025-02-16T00:00:00"/>
    <s v="Michael Scott"/>
    <x v="0"/>
    <x v="8"/>
    <s v="Office Supplies"/>
    <n v="25"/>
    <n v="89.99"/>
    <n v="42"/>
    <n v="2249.75"/>
    <n v="1050"/>
    <n v="1199.75"/>
    <n v="0.53328147571952444"/>
    <x v="1"/>
  </r>
  <r>
    <d v="2025-02-16T00:00:00"/>
    <s v="Jessica Taylor"/>
    <x v="4"/>
    <x v="13"/>
    <s v="Furniture"/>
    <n v="3"/>
    <n v="850"/>
    <n v="520"/>
    <n v="2550"/>
    <n v="1560"/>
    <n v="990"/>
    <n v="0.38823529411764707"/>
    <x v="1"/>
  </r>
  <r>
    <d v="2025-02-17T00:00:00"/>
    <s v="Michael Scott"/>
    <x v="0"/>
    <x v="3"/>
    <s v="Office Supplies"/>
    <n v="23"/>
    <n v="24.99"/>
    <n v="10"/>
    <n v="574.77"/>
    <n v="230"/>
    <n v="344.77"/>
    <n v="0.59983993597438978"/>
    <x v="1"/>
  </r>
  <r>
    <d v="2025-02-17T00:00:00"/>
    <s v="Jessica Taylor"/>
    <x v="4"/>
    <x v="7"/>
    <s v="Lighting"/>
    <n v="40"/>
    <n v="49.99"/>
    <n v="22"/>
    <n v="1999.6000000000001"/>
    <n v="880"/>
    <n v="1119.6000000000001"/>
    <n v="0.55991198239647932"/>
    <x v="1"/>
  </r>
  <r>
    <d v="2025-02-18T00:00:00"/>
    <s v="Sarah Jenkins"/>
    <x v="3"/>
    <x v="8"/>
    <s v="Office Supplies"/>
    <n v="33"/>
    <n v="89.99"/>
    <n v="42"/>
    <n v="2969.6699999999996"/>
    <n v="1386"/>
    <n v="1583.6699999999996"/>
    <n v="0.53328147571952433"/>
    <x v="1"/>
  </r>
  <r>
    <d v="2025-02-18T00:00:00"/>
    <s v="Jessica Taylor"/>
    <x v="4"/>
    <x v="1"/>
    <s v="Lighting"/>
    <n v="22"/>
    <n v="34.99"/>
    <n v="14"/>
    <n v="769.78000000000009"/>
    <n v="308"/>
    <n v="461.78000000000009"/>
    <n v="0.59988568162332101"/>
    <x v="1"/>
  </r>
  <r>
    <d v="2025-02-19T00:00:00"/>
    <s v="Robert Chen"/>
    <x v="3"/>
    <x v="6"/>
    <s v="Office Supplies"/>
    <n v="6"/>
    <n v="79.989999999999995"/>
    <n v="40"/>
    <n v="479.93999999999994"/>
    <n v="240"/>
    <n v="239.93999999999994"/>
    <n v="0.49993749218652328"/>
    <x v="1"/>
  </r>
  <r>
    <d v="2025-02-20T00:00:00"/>
    <s v="David Miller"/>
    <x v="2"/>
    <x v="4"/>
    <s v="Electronics"/>
    <n v="5"/>
    <n v="29.99"/>
    <n v="12"/>
    <n v="149.94999999999999"/>
    <n v="60"/>
    <n v="89.949999999999989"/>
    <n v="0.59986662220740239"/>
    <x v="1"/>
  </r>
  <r>
    <d v="2025-02-20T00:00:00"/>
    <s v="Emily Chen"/>
    <x v="1"/>
    <x v="2"/>
    <s v="Furniture"/>
    <n v="5"/>
    <n v="179.99"/>
    <n v="95"/>
    <n v="899.95"/>
    <n v="475"/>
    <n v="424.95000000000005"/>
    <n v="0.47219289960553368"/>
    <x v="1"/>
  </r>
  <r>
    <d v="2025-02-20T00:00:00"/>
    <s v="Jessica Taylor"/>
    <x v="4"/>
    <x v="9"/>
    <s v="Electronics"/>
    <n v="4"/>
    <n v="119.99"/>
    <n v="60"/>
    <n v="479.96"/>
    <n v="240"/>
    <n v="239.95999999999998"/>
    <n v="0.49995832986082173"/>
    <x v="1"/>
  </r>
  <r>
    <d v="2025-02-21T00:00:00"/>
    <s v="Jessica Taylor"/>
    <x v="4"/>
    <x v="12"/>
    <s v="Electronics"/>
    <n v="15"/>
    <n v="89.99"/>
    <n v="45"/>
    <n v="1349.85"/>
    <n v="675"/>
    <n v="674.84999999999991"/>
    <n v="0.49994443827091894"/>
    <x v="1"/>
  </r>
  <r>
    <d v="2025-02-21T00:00:00"/>
    <s v="Emily Chen"/>
    <x v="1"/>
    <x v="12"/>
    <s v="Electronics"/>
    <n v="46"/>
    <n v="89.99"/>
    <n v="45"/>
    <n v="4139.54"/>
    <n v="2070"/>
    <n v="2069.54"/>
    <n v="0.499944438270919"/>
    <x v="1"/>
  </r>
  <r>
    <d v="2025-02-22T00:00:00"/>
    <s v="David Miller"/>
    <x v="2"/>
    <x v="8"/>
    <s v="Office Supplies"/>
    <n v="6"/>
    <n v="89.99"/>
    <n v="42"/>
    <n v="539.93999999999994"/>
    <n v="252"/>
    <n v="287.93999999999994"/>
    <n v="0.53328147571952433"/>
    <x v="1"/>
  </r>
  <r>
    <d v="2025-02-22T00:00:00"/>
    <s v="Michael Scott"/>
    <x v="0"/>
    <x v="0"/>
    <s v="Furniture"/>
    <n v="3"/>
    <n v="599.99"/>
    <n v="360"/>
    <n v="1799.97"/>
    <n v="1080"/>
    <n v="719.97"/>
    <n v="0.39998999983333056"/>
    <x v="1"/>
  </r>
  <r>
    <d v="2025-02-22T00:00:00"/>
    <s v="Jessica Taylor"/>
    <x v="4"/>
    <x v="13"/>
    <s v="Furniture"/>
    <n v="4"/>
    <n v="850"/>
    <n v="520"/>
    <n v="3400"/>
    <n v="2080"/>
    <n v="1320"/>
    <n v="0.38823529411764707"/>
    <x v="1"/>
  </r>
  <r>
    <d v="2025-02-22T00:00:00"/>
    <s v="Emily Chen"/>
    <x v="1"/>
    <x v="14"/>
    <s v="Electronics"/>
    <n v="4"/>
    <n v="149.99"/>
    <n v="75"/>
    <n v="599.96"/>
    <n v="300"/>
    <n v="299.96000000000004"/>
    <n v="0.49996666444429633"/>
    <x v="1"/>
  </r>
  <r>
    <d v="2025-02-23T00:00:00"/>
    <s v="Robert Chen"/>
    <x v="3"/>
    <x v="1"/>
    <s v="Lighting"/>
    <n v="9"/>
    <n v="34.99"/>
    <n v="14"/>
    <n v="314.91000000000003"/>
    <n v="126"/>
    <n v="188.91000000000003"/>
    <n v="0.59988568162332101"/>
    <x v="1"/>
  </r>
  <r>
    <d v="2025-02-23T00:00:00"/>
    <s v="Robert Chen"/>
    <x v="3"/>
    <x v="2"/>
    <s v="Furniture"/>
    <n v="5"/>
    <n v="179.99"/>
    <n v="95"/>
    <n v="899.95"/>
    <n v="475"/>
    <n v="424.95000000000005"/>
    <n v="0.47219289960553368"/>
    <x v="1"/>
  </r>
  <r>
    <d v="2025-02-23T00:00:00"/>
    <s v="Sarah Jenkins"/>
    <x v="3"/>
    <x v="13"/>
    <s v="Furniture"/>
    <n v="1"/>
    <n v="850"/>
    <n v="520"/>
    <n v="850"/>
    <n v="520"/>
    <n v="330"/>
    <n v="0.38823529411764707"/>
    <x v="1"/>
  </r>
  <r>
    <d v="2025-02-23T00:00:00"/>
    <s v="Emily Chen"/>
    <x v="1"/>
    <x v="0"/>
    <s v="Furniture"/>
    <n v="2"/>
    <n v="599.99"/>
    <n v="360"/>
    <n v="1199.98"/>
    <n v="720"/>
    <n v="479.98"/>
    <n v="0.39998999983333056"/>
    <x v="1"/>
  </r>
  <r>
    <d v="2025-02-23T00:00:00"/>
    <s v="Sarah Jenkins"/>
    <x v="3"/>
    <x v="5"/>
    <s v="Electronics"/>
    <n v="5"/>
    <n v="1250"/>
    <n v="850"/>
    <n v="6250"/>
    <n v="4250"/>
    <n v="2000"/>
    <n v="0.32"/>
    <x v="1"/>
  </r>
  <r>
    <d v="2025-02-24T00:00:00"/>
    <s v="Robert Chen"/>
    <x v="3"/>
    <x v="13"/>
    <s v="Furniture"/>
    <n v="4"/>
    <n v="850"/>
    <n v="520"/>
    <n v="3400"/>
    <n v="2080"/>
    <n v="1320"/>
    <n v="0.38823529411764707"/>
    <x v="1"/>
  </r>
  <r>
    <d v="2025-02-27T00:00:00"/>
    <s v="David Miller"/>
    <x v="2"/>
    <x v="9"/>
    <s v="Electronics"/>
    <n v="3"/>
    <n v="119.99"/>
    <n v="60"/>
    <n v="359.96999999999997"/>
    <n v="180"/>
    <n v="179.96999999999997"/>
    <n v="0.49995832986082167"/>
    <x v="1"/>
  </r>
  <r>
    <d v="2025-02-27T00:00:00"/>
    <s v="Michael Scott"/>
    <x v="0"/>
    <x v="2"/>
    <s v="Furniture"/>
    <n v="4"/>
    <n v="179.99"/>
    <n v="95"/>
    <n v="719.96"/>
    <n v="380"/>
    <n v="339.96000000000004"/>
    <n v="0.47219289960553368"/>
    <x v="1"/>
  </r>
  <r>
    <d v="2025-02-27T00:00:00"/>
    <s v="Emily Chen"/>
    <x v="1"/>
    <x v="3"/>
    <s v="Office Supplies"/>
    <n v="26"/>
    <n v="24.99"/>
    <n v="10"/>
    <n v="649.74"/>
    <n v="260"/>
    <n v="389.74"/>
    <n v="0.59983993597438978"/>
    <x v="1"/>
  </r>
  <r>
    <d v="2025-02-27T00:00:00"/>
    <s v="Amanda Martinez"/>
    <x v="0"/>
    <x v="1"/>
    <s v="Lighting"/>
    <n v="48"/>
    <n v="34.99"/>
    <n v="14"/>
    <n v="1679.52"/>
    <n v="672"/>
    <n v="1007.52"/>
    <n v="0.5998856816233209"/>
    <x v="1"/>
  </r>
  <r>
    <d v="2025-02-28T00:00:00"/>
    <s v="Robert Chen"/>
    <x v="3"/>
    <x v="0"/>
    <s v="Furniture"/>
    <n v="1"/>
    <n v="599.99"/>
    <n v="360"/>
    <n v="599.99"/>
    <n v="360"/>
    <n v="239.99"/>
    <n v="0.39998999983333056"/>
    <x v="1"/>
  </r>
  <r>
    <d v="2025-03-01T00:00:00"/>
    <s v="Robert Chen"/>
    <x v="3"/>
    <x v="5"/>
    <s v="Electronics"/>
    <n v="2"/>
    <n v="1250"/>
    <n v="850"/>
    <n v="2500"/>
    <n v="1700"/>
    <n v="800"/>
    <n v="0.32"/>
    <x v="2"/>
  </r>
  <r>
    <d v="2025-03-01T00:00:00"/>
    <s v="Amanda Martinez"/>
    <x v="0"/>
    <x v="6"/>
    <s v="Office Supplies"/>
    <n v="34"/>
    <n v="79.989999999999995"/>
    <n v="40"/>
    <n v="2719.66"/>
    <n v="1360"/>
    <n v="1359.6599999999999"/>
    <n v="0.49993749218652328"/>
    <x v="2"/>
  </r>
  <r>
    <d v="2025-03-03T00:00:00"/>
    <s v="James Wilson"/>
    <x v="1"/>
    <x v="11"/>
    <s v="Electronics"/>
    <n v="8"/>
    <n v="349.99"/>
    <n v="210"/>
    <n v="2799.92"/>
    <n v="1680"/>
    <n v="1119.92"/>
    <n v="0.39998285665304723"/>
    <x v="2"/>
  </r>
  <r>
    <d v="2025-03-03T00:00:00"/>
    <s v="Robert Chen"/>
    <x v="3"/>
    <x v="0"/>
    <s v="Furniture"/>
    <n v="3"/>
    <n v="599.99"/>
    <n v="360"/>
    <n v="1799.97"/>
    <n v="1080"/>
    <n v="719.97"/>
    <n v="0.39998999983333056"/>
    <x v="2"/>
  </r>
  <r>
    <d v="2025-03-04T00:00:00"/>
    <s v="Jessica Taylor"/>
    <x v="4"/>
    <x v="11"/>
    <s v="Electronics"/>
    <n v="14"/>
    <n v="349.99"/>
    <n v="210"/>
    <n v="4899.8600000000006"/>
    <n v="2940"/>
    <n v="1959.8600000000006"/>
    <n v="0.39998285665304728"/>
    <x v="2"/>
  </r>
  <r>
    <d v="2025-03-04T00:00:00"/>
    <s v="David Miller"/>
    <x v="2"/>
    <x v="2"/>
    <s v="Furniture"/>
    <n v="7"/>
    <n v="179.99"/>
    <n v="95"/>
    <n v="1259.93"/>
    <n v="665"/>
    <n v="594.93000000000006"/>
    <n v="0.47219289960553368"/>
    <x v="2"/>
  </r>
  <r>
    <d v="2025-03-04T00:00:00"/>
    <s v="Emily Chen"/>
    <x v="1"/>
    <x v="12"/>
    <s v="Electronics"/>
    <n v="36"/>
    <n v="89.99"/>
    <n v="45"/>
    <n v="3239.64"/>
    <n v="1620"/>
    <n v="1619.6399999999999"/>
    <n v="0.49994443827091894"/>
    <x v="2"/>
  </r>
  <r>
    <d v="2025-03-06T00:00:00"/>
    <s v="Amanda Martinez"/>
    <x v="0"/>
    <x v="0"/>
    <s v="Furniture"/>
    <n v="1"/>
    <n v="599.99"/>
    <n v="360"/>
    <n v="599.99"/>
    <n v="360"/>
    <n v="239.99"/>
    <n v="0.39998999983333056"/>
    <x v="2"/>
  </r>
  <r>
    <d v="2025-03-07T00:00:00"/>
    <s v="Jessica Taylor"/>
    <x v="4"/>
    <x v="6"/>
    <s v="Office Supplies"/>
    <n v="21"/>
    <n v="79.989999999999995"/>
    <n v="40"/>
    <n v="1679.79"/>
    <n v="840"/>
    <n v="839.79"/>
    <n v="0.49993749218652328"/>
    <x v="2"/>
  </r>
  <r>
    <d v="2025-03-09T00:00:00"/>
    <s v="Amanda Martinez"/>
    <x v="0"/>
    <x v="4"/>
    <s v="Electronics"/>
    <n v="18"/>
    <n v="29.99"/>
    <n v="12"/>
    <n v="539.81999999999994"/>
    <n v="216"/>
    <n v="323.81999999999994"/>
    <n v="0.59986662220740239"/>
    <x v="2"/>
  </r>
  <r>
    <d v="2025-03-10T00:00:00"/>
    <s v="Emily Chen"/>
    <x v="1"/>
    <x v="8"/>
    <s v="Office Supplies"/>
    <n v="13"/>
    <n v="89.99"/>
    <n v="42"/>
    <n v="1169.8699999999999"/>
    <n v="546"/>
    <n v="623.86999999999989"/>
    <n v="0.53328147571952433"/>
    <x v="2"/>
  </r>
  <r>
    <d v="2025-03-10T00:00:00"/>
    <s v="Sarah Jenkins"/>
    <x v="3"/>
    <x v="11"/>
    <s v="Electronics"/>
    <n v="8"/>
    <n v="349.99"/>
    <n v="210"/>
    <n v="2799.92"/>
    <n v="1680"/>
    <n v="1119.92"/>
    <n v="0.39998285665304723"/>
    <x v="2"/>
  </r>
  <r>
    <d v="2025-03-13T00:00:00"/>
    <s v="Emily Chen"/>
    <x v="1"/>
    <x v="8"/>
    <s v="Office Supplies"/>
    <n v="6"/>
    <n v="89.99"/>
    <n v="42"/>
    <n v="539.93999999999994"/>
    <n v="252"/>
    <n v="287.93999999999994"/>
    <n v="0.53328147571952433"/>
    <x v="2"/>
  </r>
  <r>
    <d v="2025-03-16T00:00:00"/>
    <s v="James Wilson"/>
    <x v="1"/>
    <x v="9"/>
    <s v="Electronics"/>
    <n v="13"/>
    <n v="119.99"/>
    <n v="60"/>
    <n v="1559.87"/>
    <n v="780"/>
    <n v="779.86999999999989"/>
    <n v="0.49995832986082173"/>
    <x v="2"/>
  </r>
  <r>
    <d v="2025-03-17T00:00:00"/>
    <s v="Emily Chen"/>
    <x v="1"/>
    <x v="4"/>
    <s v="Electronics"/>
    <n v="29"/>
    <n v="29.99"/>
    <n v="12"/>
    <n v="869.70999999999992"/>
    <n v="348"/>
    <n v="521.70999999999992"/>
    <n v="0.59986662220740239"/>
    <x v="2"/>
  </r>
  <r>
    <d v="2025-03-22T00:00:00"/>
    <s v="Emily Chen"/>
    <x v="1"/>
    <x v="8"/>
    <s v="Office Supplies"/>
    <n v="43"/>
    <n v="89.99"/>
    <n v="42"/>
    <n v="3869.5699999999997"/>
    <n v="1806"/>
    <n v="2063.5699999999997"/>
    <n v="0.53328147571952433"/>
    <x v="2"/>
  </r>
  <r>
    <d v="2025-03-22T00:00:00"/>
    <s v="James Wilson"/>
    <x v="1"/>
    <x v="10"/>
    <s v="Furniture"/>
    <n v="9"/>
    <n v="299.99"/>
    <n v="160"/>
    <n v="2699.91"/>
    <n v="1440"/>
    <n v="1259.9099999999999"/>
    <n v="0.46664888829627649"/>
    <x v="2"/>
  </r>
  <r>
    <d v="2025-03-22T00:00:00"/>
    <s v="David Miller"/>
    <x v="2"/>
    <x v="10"/>
    <s v="Furniture"/>
    <n v="6"/>
    <n v="299.99"/>
    <n v="160"/>
    <n v="1799.94"/>
    <n v="960"/>
    <n v="839.94"/>
    <n v="0.46664888829627654"/>
    <x v="2"/>
  </r>
  <r>
    <d v="2025-03-27T00:00:00"/>
    <s v="Robert Chen"/>
    <x v="3"/>
    <x v="5"/>
    <s v="Electronics"/>
    <n v="3"/>
    <n v="1250"/>
    <n v="850"/>
    <n v="3750"/>
    <n v="2550"/>
    <n v="1200"/>
    <n v="0.32"/>
    <x v="2"/>
  </r>
  <r>
    <d v="2025-03-27T00:00:00"/>
    <s v="Emily Chen"/>
    <x v="1"/>
    <x v="1"/>
    <s v="Lighting"/>
    <n v="8"/>
    <n v="34.99"/>
    <n v="14"/>
    <n v="279.92"/>
    <n v="112"/>
    <n v="167.92000000000002"/>
    <n v="0.59988568162332101"/>
    <x v="2"/>
  </r>
  <r>
    <d v="2025-03-29T00:00:00"/>
    <s v="James Wilson"/>
    <x v="1"/>
    <x v="12"/>
    <s v="Electronics"/>
    <n v="30"/>
    <n v="89.99"/>
    <n v="45"/>
    <n v="2699.7"/>
    <n v="1350"/>
    <n v="1349.6999999999998"/>
    <n v="0.49994443827091894"/>
    <x v="2"/>
  </r>
  <r>
    <d v="2025-03-30T00:00:00"/>
    <s v="Jessica Taylor"/>
    <x v="4"/>
    <x v="2"/>
    <s v="Furniture"/>
    <n v="10"/>
    <n v="179.99"/>
    <n v="95"/>
    <n v="1799.9"/>
    <n v="950"/>
    <n v="849.90000000000009"/>
    <n v="0.47219289960553368"/>
    <x v="2"/>
  </r>
  <r>
    <d v="2025-03-30T00:00:00"/>
    <s v="Sarah Jenkins"/>
    <x v="3"/>
    <x v="0"/>
    <s v="Furniture"/>
    <n v="5"/>
    <n v="599.99"/>
    <n v="360"/>
    <n v="2999.95"/>
    <n v="1800"/>
    <n v="1199.9499999999998"/>
    <n v="0.3999899998333305"/>
    <x v="2"/>
  </r>
  <r>
    <d v="2025-04-02T00:00:00"/>
    <s v="Sarah Jenkins"/>
    <x v="3"/>
    <x v="14"/>
    <s v="Electronics"/>
    <n v="13"/>
    <n v="149.99"/>
    <n v="75"/>
    <n v="1949.8700000000001"/>
    <n v="975"/>
    <n v="974.87000000000012"/>
    <n v="0.49996666444429633"/>
    <x v="3"/>
  </r>
  <r>
    <d v="2025-04-02T00:00:00"/>
    <s v="Emily Chen"/>
    <x v="1"/>
    <x v="9"/>
    <s v="Electronics"/>
    <n v="2"/>
    <n v="119.99"/>
    <n v="60"/>
    <n v="239.98"/>
    <n v="120"/>
    <n v="119.97999999999999"/>
    <n v="0.49995832986082173"/>
    <x v="3"/>
  </r>
  <r>
    <d v="2025-04-02T00:00:00"/>
    <s v="David Miller"/>
    <x v="2"/>
    <x v="11"/>
    <s v="Electronics"/>
    <n v="7"/>
    <n v="349.99"/>
    <n v="210"/>
    <n v="2449.9300000000003"/>
    <n v="1470"/>
    <n v="979.93000000000029"/>
    <n v="0.39998285665304728"/>
    <x v="3"/>
  </r>
  <r>
    <d v="2025-04-04T00:00:00"/>
    <s v="David Miller"/>
    <x v="2"/>
    <x v="2"/>
    <s v="Furniture"/>
    <n v="5"/>
    <n v="179.99"/>
    <n v="95"/>
    <n v="899.95"/>
    <n v="475"/>
    <n v="424.95000000000005"/>
    <n v="0.47219289960553368"/>
    <x v="3"/>
  </r>
  <r>
    <d v="2025-04-05T00:00:00"/>
    <s v="Jessica Taylor"/>
    <x v="4"/>
    <x v="4"/>
    <s v="Electronics"/>
    <n v="15"/>
    <n v="29.99"/>
    <n v="12"/>
    <n v="449.84999999999997"/>
    <n v="180"/>
    <n v="269.84999999999997"/>
    <n v="0.59986662220740239"/>
    <x v="3"/>
  </r>
  <r>
    <d v="2025-04-06T00:00:00"/>
    <s v="Emily Chen"/>
    <x v="1"/>
    <x v="7"/>
    <s v="Lighting"/>
    <n v="10"/>
    <n v="49.99"/>
    <n v="22"/>
    <n v="499.90000000000003"/>
    <n v="220"/>
    <n v="279.90000000000003"/>
    <n v="0.55991198239647932"/>
    <x v="3"/>
  </r>
  <r>
    <d v="2025-04-06T00:00:00"/>
    <s v="Sarah Jenkins"/>
    <x v="3"/>
    <x v="10"/>
    <s v="Furniture"/>
    <n v="2"/>
    <n v="299.99"/>
    <n v="160"/>
    <n v="599.98"/>
    <n v="320"/>
    <n v="279.98"/>
    <n v="0.46664888829627654"/>
    <x v="3"/>
  </r>
  <r>
    <d v="2025-04-06T00:00:00"/>
    <s v="David Miller"/>
    <x v="2"/>
    <x v="7"/>
    <s v="Lighting"/>
    <n v="25"/>
    <n v="49.99"/>
    <n v="22"/>
    <n v="1249.75"/>
    <n v="550"/>
    <n v="699.75"/>
    <n v="0.55991198239647932"/>
    <x v="3"/>
  </r>
  <r>
    <d v="2025-04-06T00:00:00"/>
    <s v="Emily Chen"/>
    <x v="1"/>
    <x v="6"/>
    <s v="Office Supplies"/>
    <n v="46"/>
    <n v="79.989999999999995"/>
    <n v="40"/>
    <n v="3679.54"/>
    <n v="1840"/>
    <n v="1839.54"/>
    <n v="0.49993749218652334"/>
    <x v="3"/>
  </r>
  <r>
    <d v="2025-04-07T00:00:00"/>
    <s v="Amanda Martinez"/>
    <x v="0"/>
    <x v="9"/>
    <s v="Electronics"/>
    <n v="4"/>
    <n v="119.99"/>
    <n v="60"/>
    <n v="479.96"/>
    <n v="240"/>
    <n v="239.95999999999998"/>
    <n v="0.49995832986082173"/>
    <x v="3"/>
  </r>
  <r>
    <d v="2025-04-07T00:00:00"/>
    <s v="David Miller"/>
    <x v="2"/>
    <x v="14"/>
    <s v="Electronics"/>
    <n v="9"/>
    <n v="149.99"/>
    <n v="75"/>
    <n v="1349.91"/>
    <n v="675"/>
    <n v="674.91000000000008"/>
    <n v="0.49996666444429633"/>
    <x v="3"/>
  </r>
  <r>
    <d v="2025-04-08T00:00:00"/>
    <s v="James Wilson"/>
    <x v="1"/>
    <x v="0"/>
    <s v="Furniture"/>
    <n v="2"/>
    <n v="599.99"/>
    <n v="360"/>
    <n v="1199.98"/>
    <n v="720"/>
    <n v="479.98"/>
    <n v="0.39998999983333056"/>
    <x v="3"/>
  </r>
  <r>
    <d v="2025-04-09T00:00:00"/>
    <s v="Amanda Martinez"/>
    <x v="0"/>
    <x v="5"/>
    <s v="Electronics"/>
    <n v="1"/>
    <n v="1250"/>
    <n v="850"/>
    <n v="1250"/>
    <n v="850"/>
    <n v="400"/>
    <n v="0.32"/>
    <x v="3"/>
  </r>
  <r>
    <d v="2025-04-09T00:00:00"/>
    <s v="Robert Chen"/>
    <x v="3"/>
    <x v="14"/>
    <s v="Electronics"/>
    <n v="5"/>
    <n v="149.99"/>
    <n v="75"/>
    <n v="749.95"/>
    <n v="375"/>
    <n v="374.95000000000005"/>
    <n v="0.49996666444429633"/>
    <x v="3"/>
  </r>
  <r>
    <d v="2025-04-09T00:00:00"/>
    <s v="David Miller"/>
    <x v="2"/>
    <x v="9"/>
    <s v="Electronics"/>
    <n v="9"/>
    <n v="119.99"/>
    <n v="60"/>
    <n v="1079.9099999999999"/>
    <n v="540"/>
    <n v="539.90999999999985"/>
    <n v="0.49995832986082167"/>
    <x v="3"/>
  </r>
  <r>
    <d v="2025-04-09T00:00:00"/>
    <s v="Sarah Jenkins"/>
    <x v="3"/>
    <x v="14"/>
    <s v="Electronics"/>
    <n v="6"/>
    <n v="149.99"/>
    <n v="75"/>
    <n v="899.94"/>
    <n v="450"/>
    <n v="449.94000000000005"/>
    <n v="0.49996666444429633"/>
    <x v="3"/>
  </r>
  <r>
    <d v="2025-04-09T00:00:00"/>
    <s v="Michael Scott"/>
    <x v="0"/>
    <x v="9"/>
    <s v="Electronics"/>
    <n v="10"/>
    <n v="119.99"/>
    <n v="60"/>
    <n v="1199.8999999999999"/>
    <n v="600"/>
    <n v="599.89999999999986"/>
    <n v="0.49995832986082167"/>
    <x v="3"/>
  </r>
  <r>
    <d v="2025-04-09T00:00:00"/>
    <s v="Amanda Martinez"/>
    <x v="0"/>
    <x v="9"/>
    <s v="Electronics"/>
    <n v="12"/>
    <n v="119.99"/>
    <n v="60"/>
    <n v="1439.8799999999999"/>
    <n v="720"/>
    <n v="719.87999999999988"/>
    <n v="0.49995832986082167"/>
    <x v="3"/>
  </r>
  <r>
    <d v="2025-04-10T00:00:00"/>
    <s v="Robert Chen"/>
    <x v="3"/>
    <x v="13"/>
    <s v="Furniture"/>
    <n v="5"/>
    <n v="850"/>
    <n v="520"/>
    <n v="4250"/>
    <n v="2600"/>
    <n v="1650"/>
    <n v="0.38823529411764707"/>
    <x v="3"/>
  </r>
  <r>
    <d v="2025-04-10T00:00:00"/>
    <s v="Jessica Taylor"/>
    <x v="4"/>
    <x v="11"/>
    <s v="Electronics"/>
    <n v="10"/>
    <n v="349.99"/>
    <n v="210"/>
    <n v="3499.9"/>
    <n v="2100"/>
    <n v="1399.9"/>
    <n v="0.39998285665304723"/>
    <x v="3"/>
  </r>
  <r>
    <d v="2025-04-10T00:00:00"/>
    <s v="Jessica Taylor"/>
    <x v="4"/>
    <x v="3"/>
    <s v="Office Supplies"/>
    <n v="26"/>
    <n v="24.99"/>
    <n v="10"/>
    <n v="649.74"/>
    <n v="260"/>
    <n v="389.74"/>
    <n v="0.59983993597438978"/>
    <x v="3"/>
  </r>
  <r>
    <d v="2025-04-11T00:00:00"/>
    <s v="Sarah Jenkins"/>
    <x v="3"/>
    <x v="7"/>
    <s v="Lighting"/>
    <n v="25"/>
    <n v="49.99"/>
    <n v="22"/>
    <n v="1249.75"/>
    <n v="550"/>
    <n v="699.75"/>
    <n v="0.55991198239647932"/>
    <x v="3"/>
  </r>
  <r>
    <d v="2025-04-11T00:00:00"/>
    <s v="David Miller"/>
    <x v="2"/>
    <x v="3"/>
    <s v="Office Supplies"/>
    <n v="31"/>
    <n v="24.99"/>
    <n v="10"/>
    <n v="774.68999999999994"/>
    <n v="310"/>
    <n v="464.68999999999994"/>
    <n v="0.59983993597438967"/>
    <x v="3"/>
  </r>
  <r>
    <d v="2025-04-11T00:00:00"/>
    <s v="Emily Chen"/>
    <x v="1"/>
    <x v="3"/>
    <s v="Office Supplies"/>
    <n v="35"/>
    <n v="24.99"/>
    <n v="10"/>
    <n v="874.65"/>
    <n v="350"/>
    <n v="524.65"/>
    <n v="0.59983993597438978"/>
    <x v="3"/>
  </r>
  <r>
    <d v="2025-04-13T00:00:00"/>
    <s v="David Miller"/>
    <x v="2"/>
    <x v="3"/>
    <s v="Office Supplies"/>
    <n v="10"/>
    <n v="24.99"/>
    <n v="10"/>
    <n v="249.89999999999998"/>
    <n v="100"/>
    <n v="149.89999999999998"/>
    <n v="0.59983993597438967"/>
    <x v="3"/>
  </r>
  <r>
    <d v="2025-04-13T00:00:00"/>
    <s v="Sarah Jenkins"/>
    <x v="3"/>
    <x v="8"/>
    <s v="Office Supplies"/>
    <n v="31"/>
    <n v="89.99"/>
    <n v="42"/>
    <n v="2789.69"/>
    <n v="1302"/>
    <n v="1487.69"/>
    <n v="0.53328147571952444"/>
    <x v="3"/>
  </r>
  <r>
    <d v="2025-04-13T00:00:00"/>
    <s v="Jessica Taylor"/>
    <x v="4"/>
    <x v="10"/>
    <s v="Furniture"/>
    <n v="8"/>
    <n v="299.99"/>
    <n v="160"/>
    <n v="2399.92"/>
    <n v="1280"/>
    <n v="1119.92"/>
    <n v="0.46664888829627654"/>
    <x v="3"/>
  </r>
  <r>
    <d v="2025-04-14T00:00:00"/>
    <s v="David Miller"/>
    <x v="2"/>
    <x v="13"/>
    <s v="Furniture"/>
    <n v="2"/>
    <n v="850"/>
    <n v="520"/>
    <n v="1700"/>
    <n v="1040"/>
    <n v="660"/>
    <n v="0.38823529411764707"/>
    <x v="3"/>
  </r>
  <r>
    <d v="2025-04-14T00:00:00"/>
    <s v="Jessica Taylor"/>
    <x v="4"/>
    <x v="0"/>
    <s v="Furniture"/>
    <n v="4"/>
    <n v="599.99"/>
    <n v="360"/>
    <n v="2399.96"/>
    <n v="1440"/>
    <n v="959.96"/>
    <n v="0.39998999983333056"/>
    <x v="3"/>
  </r>
  <r>
    <d v="2025-04-16T00:00:00"/>
    <s v="Amanda Martinez"/>
    <x v="0"/>
    <x v="13"/>
    <s v="Furniture"/>
    <n v="5"/>
    <n v="850"/>
    <n v="520"/>
    <n v="4250"/>
    <n v="2600"/>
    <n v="1650"/>
    <n v="0.38823529411764707"/>
    <x v="3"/>
  </r>
  <r>
    <d v="2025-04-16T00:00:00"/>
    <s v="Robert Chen"/>
    <x v="3"/>
    <x v="12"/>
    <s v="Electronics"/>
    <n v="11"/>
    <n v="89.99"/>
    <n v="45"/>
    <n v="989.89"/>
    <n v="495"/>
    <n v="494.89"/>
    <n v="0.499944438270919"/>
    <x v="3"/>
  </r>
  <r>
    <d v="2025-04-17T00:00:00"/>
    <s v="Emily Chen"/>
    <x v="1"/>
    <x v="12"/>
    <s v="Electronics"/>
    <n v="14"/>
    <n v="89.99"/>
    <n v="45"/>
    <n v="1259.8599999999999"/>
    <n v="630"/>
    <n v="629.8599999999999"/>
    <n v="0.49994443827091894"/>
    <x v="3"/>
  </r>
  <r>
    <d v="2025-04-18T00:00:00"/>
    <s v="Amanda Martinez"/>
    <x v="0"/>
    <x v="8"/>
    <s v="Office Supplies"/>
    <n v="49"/>
    <n v="89.99"/>
    <n v="42"/>
    <n v="4409.5099999999993"/>
    <n v="2058"/>
    <n v="2351.5099999999993"/>
    <n v="0.53328147571952433"/>
    <x v="3"/>
  </r>
  <r>
    <d v="2025-04-18T00:00:00"/>
    <s v="Jessica Taylor"/>
    <x v="4"/>
    <x v="10"/>
    <s v="Furniture"/>
    <n v="1"/>
    <n v="299.99"/>
    <n v="160"/>
    <n v="299.99"/>
    <n v="160"/>
    <n v="139.99"/>
    <n v="0.46664888829627654"/>
    <x v="3"/>
  </r>
  <r>
    <d v="2025-04-22T00:00:00"/>
    <s v="Jessica Taylor"/>
    <x v="4"/>
    <x v="14"/>
    <s v="Electronics"/>
    <n v="10"/>
    <n v="149.99"/>
    <n v="75"/>
    <n v="1499.9"/>
    <n v="750"/>
    <n v="749.90000000000009"/>
    <n v="0.49996666444429633"/>
    <x v="3"/>
  </r>
  <r>
    <d v="2025-04-22T00:00:00"/>
    <s v="Michael Scott"/>
    <x v="0"/>
    <x v="11"/>
    <s v="Electronics"/>
    <n v="5"/>
    <n v="349.99"/>
    <n v="210"/>
    <n v="1749.95"/>
    <n v="1050"/>
    <n v="699.95"/>
    <n v="0.39998285665304723"/>
    <x v="3"/>
  </r>
  <r>
    <d v="2025-04-23T00:00:00"/>
    <s v="Michael Scott"/>
    <x v="0"/>
    <x v="10"/>
    <s v="Furniture"/>
    <n v="12"/>
    <n v="299.99"/>
    <n v="160"/>
    <n v="3599.88"/>
    <n v="1920"/>
    <n v="1679.88"/>
    <n v="0.46664888829627654"/>
    <x v="3"/>
  </r>
  <r>
    <d v="2025-04-23T00:00:00"/>
    <s v="Amanda Martinez"/>
    <x v="0"/>
    <x v="8"/>
    <s v="Office Supplies"/>
    <n v="6"/>
    <n v="89.99"/>
    <n v="42"/>
    <n v="539.93999999999994"/>
    <n v="252"/>
    <n v="287.93999999999994"/>
    <n v="0.53328147571952433"/>
    <x v="3"/>
  </r>
  <r>
    <d v="2025-04-23T00:00:00"/>
    <s v="James Wilson"/>
    <x v="1"/>
    <x v="9"/>
    <s v="Electronics"/>
    <n v="12"/>
    <n v="119.99"/>
    <n v="60"/>
    <n v="1439.8799999999999"/>
    <n v="720"/>
    <n v="719.87999999999988"/>
    <n v="0.49995832986082167"/>
    <x v="3"/>
  </r>
  <r>
    <d v="2025-04-23T00:00:00"/>
    <s v="Amanda Martinez"/>
    <x v="0"/>
    <x v="4"/>
    <s v="Electronics"/>
    <n v="47"/>
    <n v="29.99"/>
    <n v="12"/>
    <n v="1409.53"/>
    <n v="564"/>
    <n v="845.53"/>
    <n v="0.5998666222074025"/>
    <x v="3"/>
  </r>
  <r>
    <d v="2025-04-23T00:00:00"/>
    <s v="Michael Scott"/>
    <x v="0"/>
    <x v="11"/>
    <s v="Electronics"/>
    <n v="1"/>
    <n v="349.99"/>
    <n v="210"/>
    <n v="349.99"/>
    <n v="210"/>
    <n v="139.99"/>
    <n v="0.39998285665304723"/>
    <x v="3"/>
  </r>
  <r>
    <d v="2025-04-24T00:00:00"/>
    <s v="Jessica Taylor"/>
    <x v="4"/>
    <x v="1"/>
    <s v="Lighting"/>
    <n v="40"/>
    <n v="34.99"/>
    <n v="14"/>
    <n v="1399.6000000000001"/>
    <n v="560"/>
    <n v="839.60000000000014"/>
    <n v="0.59988568162332101"/>
    <x v="3"/>
  </r>
  <r>
    <d v="2025-04-26T00:00:00"/>
    <s v="Sarah Jenkins"/>
    <x v="3"/>
    <x v="7"/>
    <s v="Lighting"/>
    <n v="30"/>
    <n v="49.99"/>
    <n v="22"/>
    <n v="1499.7"/>
    <n v="660"/>
    <n v="839.7"/>
    <n v="0.55991198239647932"/>
    <x v="3"/>
  </r>
  <r>
    <d v="2025-04-26T00:00:00"/>
    <s v="Amanda Martinez"/>
    <x v="0"/>
    <x v="11"/>
    <s v="Electronics"/>
    <n v="13"/>
    <n v="349.99"/>
    <n v="210"/>
    <n v="4549.87"/>
    <n v="2730"/>
    <n v="1819.87"/>
    <n v="0.39998285665304723"/>
    <x v="3"/>
  </r>
  <r>
    <d v="2025-04-26T00:00:00"/>
    <s v="Jessica Taylor"/>
    <x v="4"/>
    <x v="8"/>
    <s v="Office Supplies"/>
    <n v="25"/>
    <n v="89.99"/>
    <n v="42"/>
    <n v="2249.75"/>
    <n v="1050"/>
    <n v="1199.75"/>
    <n v="0.53328147571952444"/>
    <x v="3"/>
  </r>
  <r>
    <d v="2025-04-27T00:00:00"/>
    <s v="Sarah Jenkins"/>
    <x v="3"/>
    <x v="9"/>
    <s v="Electronics"/>
    <n v="11"/>
    <n v="119.99"/>
    <n v="60"/>
    <n v="1319.8899999999999"/>
    <n v="660"/>
    <n v="659.88999999999987"/>
    <n v="0.49995832986082167"/>
    <x v="3"/>
  </r>
  <r>
    <d v="2025-04-28T00:00:00"/>
    <s v="Sarah Jenkins"/>
    <x v="3"/>
    <x v="9"/>
    <s v="Electronics"/>
    <n v="8"/>
    <n v="119.99"/>
    <n v="60"/>
    <n v="959.92"/>
    <n v="480"/>
    <n v="479.91999999999996"/>
    <n v="0.49995832986082173"/>
    <x v="3"/>
  </r>
  <r>
    <d v="2025-04-30T00:00:00"/>
    <s v="Michael Scott"/>
    <x v="0"/>
    <x v="5"/>
    <s v="Electronics"/>
    <n v="3"/>
    <n v="1250"/>
    <n v="850"/>
    <n v="3750"/>
    <n v="2550"/>
    <n v="1200"/>
    <n v="0.32"/>
    <x v="3"/>
  </r>
  <r>
    <d v="2025-04-30T00:00:00"/>
    <s v="Amanda Martinez"/>
    <x v="0"/>
    <x v="3"/>
    <s v="Office Supplies"/>
    <n v="40"/>
    <n v="24.99"/>
    <n v="10"/>
    <n v="999.59999999999991"/>
    <n v="400"/>
    <n v="599.59999999999991"/>
    <n v="0.59983993597438967"/>
    <x v="3"/>
  </r>
  <r>
    <d v="2025-05-01T00:00:00"/>
    <s v="David Miller"/>
    <x v="2"/>
    <x v="10"/>
    <s v="Furniture"/>
    <n v="1"/>
    <n v="299.99"/>
    <n v="160"/>
    <n v="299.99"/>
    <n v="160"/>
    <n v="139.99"/>
    <n v="0.46664888829627654"/>
    <x v="4"/>
  </r>
  <r>
    <d v="2025-05-02T00:00:00"/>
    <s v="Emily Chen"/>
    <x v="1"/>
    <x v="9"/>
    <s v="Electronics"/>
    <n v="11"/>
    <n v="119.99"/>
    <n v="60"/>
    <n v="1319.8899999999999"/>
    <n v="660"/>
    <n v="659.88999999999987"/>
    <n v="0.49995832986082167"/>
    <x v="4"/>
  </r>
  <r>
    <d v="2025-05-02T00:00:00"/>
    <s v="Michael Scott"/>
    <x v="0"/>
    <x v="12"/>
    <s v="Electronics"/>
    <n v="43"/>
    <n v="89.99"/>
    <n v="45"/>
    <n v="3869.5699999999997"/>
    <n v="1935"/>
    <n v="1934.5699999999997"/>
    <n v="0.49994443827091894"/>
    <x v="4"/>
  </r>
  <r>
    <d v="2025-05-03T00:00:00"/>
    <s v="Michael Scott"/>
    <x v="0"/>
    <x v="3"/>
    <s v="Office Supplies"/>
    <n v="44"/>
    <n v="24.99"/>
    <n v="10"/>
    <n v="1099.56"/>
    <n v="440"/>
    <n v="659.56"/>
    <n v="0.59983993597438978"/>
    <x v="4"/>
  </r>
  <r>
    <d v="2025-05-04T00:00:00"/>
    <s v="David Miller"/>
    <x v="2"/>
    <x v="0"/>
    <s v="Furniture"/>
    <n v="3"/>
    <n v="599.99"/>
    <n v="360"/>
    <n v="1799.97"/>
    <n v="1080"/>
    <n v="719.97"/>
    <n v="0.39998999983333056"/>
    <x v="4"/>
  </r>
  <r>
    <d v="2025-05-04T00:00:00"/>
    <s v="Emily Chen"/>
    <x v="1"/>
    <x v="4"/>
    <s v="Electronics"/>
    <n v="38"/>
    <n v="29.99"/>
    <n v="12"/>
    <n v="1139.6199999999999"/>
    <n v="456"/>
    <n v="683.61999999999989"/>
    <n v="0.59986662220740239"/>
    <x v="4"/>
  </r>
  <r>
    <d v="2025-05-05T00:00:00"/>
    <s v="Jessica Taylor"/>
    <x v="4"/>
    <x v="8"/>
    <s v="Office Supplies"/>
    <n v="28"/>
    <n v="89.99"/>
    <n v="42"/>
    <n v="2519.7199999999998"/>
    <n v="1176"/>
    <n v="1343.7199999999998"/>
    <n v="0.53328147571952433"/>
    <x v="4"/>
  </r>
  <r>
    <d v="2025-05-06T00:00:00"/>
    <s v="James Wilson"/>
    <x v="1"/>
    <x v="7"/>
    <s v="Lighting"/>
    <n v="26"/>
    <n v="49.99"/>
    <n v="22"/>
    <n v="1299.74"/>
    <n v="572"/>
    <n v="727.74"/>
    <n v="0.55991198239647932"/>
    <x v="4"/>
  </r>
  <r>
    <d v="2025-05-06T00:00:00"/>
    <s v="Amanda Martinez"/>
    <x v="0"/>
    <x v="10"/>
    <s v="Furniture"/>
    <n v="5"/>
    <n v="299.99"/>
    <n v="160"/>
    <n v="1499.95"/>
    <n v="800"/>
    <n v="699.95"/>
    <n v="0.46664888829627654"/>
    <x v="4"/>
  </r>
  <r>
    <d v="2025-05-07T00:00:00"/>
    <s v="James Wilson"/>
    <x v="1"/>
    <x v="2"/>
    <s v="Furniture"/>
    <n v="8"/>
    <n v="179.99"/>
    <n v="95"/>
    <n v="1439.92"/>
    <n v="760"/>
    <n v="679.92000000000007"/>
    <n v="0.47219289960553368"/>
    <x v="4"/>
  </r>
  <r>
    <d v="2025-05-07T00:00:00"/>
    <s v="Jessica Taylor"/>
    <x v="4"/>
    <x v="12"/>
    <s v="Electronics"/>
    <n v="37"/>
    <n v="89.99"/>
    <n v="45"/>
    <n v="3329.6299999999997"/>
    <n v="1665"/>
    <n v="1664.6299999999997"/>
    <n v="0.49994443827091894"/>
    <x v="4"/>
  </r>
  <r>
    <d v="2025-05-08T00:00:00"/>
    <s v="Robert Chen"/>
    <x v="3"/>
    <x v="6"/>
    <s v="Office Supplies"/>
    <n v="40"/>
    <n v="79.989999999999995"/>
    <n v="40"/>
    <n v="3199.6"/>
    <n v="1600"/>
    <n v="1599.6"/>
    <n v="0.49993749218652328"/>
    <x v="4"/>
  </r>
  <r>
    <d v="2025-05-08T00:00:00"/>
    <s v="Michael Scott"/>
    <x v="0"/>
    <x v="1"/>
    <s v="Lighting"/>
    <n v="24"/>
    <n v="34.99"/>
    <n v="14"/>
    <n v="839.76"/>
    <n v="336"/>
    <n v="503.76"/>
    <n v="0.5998856816233209"/>
    <x v="4"/>
  </r>
  <r>
    <d v="2025-05-08T00:00:00"/>
    <s v="Emily Chen"/>
    <x v="1"/>
    <x v="14"/>
    <s v="Electronics"/>
    <n v="3"/>
    <n v="149.99"/>
    <n v="75"/>
    <n v="449.97"/>
    <n v="225"/>
    <n v="224.97000000000003"/>
    <n v="0.49996666444429633"/>
    <x v="4"/>
  </r>
  <r>
    <d v="2025-05-08T00:00:00"/>
    <s v="Michael Scott"/>
    <x v="0"/>
    <x v="9"/>
    <s v="Electronics"/>
    <n v="3"/>
    <n v="119.99"/>
    <n v="60"/>
    <n v="359.96999999999997"/>
    <n v="180"/>
    <n v="179.96999999999997"/>
    <n v="0.49995832986082167"/>
    <x v="4"/>
  </r>
  <r>
    <d v="2025-05-09T00:00:00"/>
    <s v="Sarah Jenkins"/>
    <x v="3"/>
    <x v="2"/>
    <s v="Furniture"/>
    <n v="4"/>
    <n v="179.99"/>
    <n v="95"/>
    <n v="719.96"/>
    <n v="380"/>
    <n v="339.96000000000004"/>
    <n v="0.47219289960553368"/>
    <x v="4"/>
  </r>
  <r>
    <d v="2025-05-09T00:00:00"/>
    <s v="Michael Scott"/>
    <x v="0"/>
    <x v="9"/>
    <s v="Electronics"/>
    <n v="11"/>
    <n v="119.99"/>
    <n v="60"/>
    <n v="1319.8899999999999"/>
    <n v="660"/>
    <n v="659.88999999999987"/>
    <n v="0.49995832986082167"/>
    <x v="4"/>
  </r>
  <r>
    <d v="2025-05-09T00:00:00"/>
    <s v="Michael Scott"/>
    <x v="0"/>
    <x v="11"/>
    <s v="Electronics"/>
    <n v="1"/>
    <n v="349.99"/>
    <n v="210"/>
    <n v="349.99"/>
    <n v="210"/>
    <n v="139.99"/>
    <n v="0.39998285665304723"/>
    <x v="4"/>
  </r>
  <r>
    <d v="2025-05-10T00:00:00"/>
    <s v="Jessica Taylor"/>
    <x v="4"/>
    <x v="12"/>
    <s v="Electronics"/>
    <n v="49"/>
    <n v="89.99"/>
    <n v="45"/>
    <n v="4409.5099999999993"/>
    <n v="2205"/>
    <n v="2204.5099999999993"/>
    <n v="0.49994443827091889"/>
    <x v="4"/>
  </r>
  <r>
    <d v="2025-05-10T00:00:00"/>
    <s v="Jessica Taylor"/>
    <x v="4"/>
    <x v="11"/>
    <s v="Electronics"/>
    <n v="11"/>
    <n v="349.99"/>
    <n v="210"/>
    <n v="3849.8900000000003"/>
    <n v="2310"/>
    <n v="1539.8900000000003"/>
    <n v="0.39998285665304728"/>
    <x v="4"/>
  </r>
  <r>
    <d v="2025-05-11T00:00:00"/>
    <s v="Jessica Taylor"/>
    <x v="4"/>
    <x v="5"/>
    <s v="Electronics"/>
    <n v="2"/>
    <n v="1250"/>
    <n v="850"/>
    <n v="2500"/>
    <n v="1700"/>
    <n v="800"/>
    <n v="0.32"/>
    <x v="4"/>
  </r>
  <r>
    <d v="2025-05-11T00:00:00"/>
    <s v="James Wilson"/>
    <x v="1"/>
    <x v="11"/>
    <s v="Electronics"/>
    <n v="9"/>
    <n v="349.99"/>
    <n v="210"/>
    <n v="3149.91"/>
    <n v="1890"/>
    <n v="1259.9099999999999"/>
    <n v="0.39998285665304723"/>
    <x v="4"/>
  </r>
  <r>
    <d v="2025-05-11T00:00:00"/>
    <s v="Sarah Jenkins"/>
    <x v="3"/>
    <x v="5"/>
    <s v="Electronics"/>
    <n v="2"/>
    <n v="1250"/>
    <n v="850"/>
    <n v="2500"/>
    <n v="1700"/>
    <n v="800"/>
    <n v="0.32"/>
    <x v="4"/>
  </r>
  <r>
    <d v="2025-05-11T00:00:00"/>
    <s v="Robert Chen"/>
    <x v="3"/>
    <x v="1"/>
    <s v="Lighting"/>
    <n v="6"/>
    <n v="34.99"/>
    <n v="14"/>
    <n v="209.94"/>
    <n v="84"/>
    <n v="125.94"/>
    <n v="0.5998856816233209"/>
    <x v="4"/>
  </r>
  <r>
    <d v="2025-05-14T00:00:00"/>
    <s v="Robert Chen"/>
    <x v="3"/>
    <x v="8"/>
    <s v="Office Supplies"/>
    <n v="13"/>
    <n v="89.99"/>
    <n v="42"/>
    <n v="1169.8699999999999"/>
    <n v="546"/>
    <n v="623.86999999999989"/>
    <n v="0.53328147571952433"/>
    <x v="4"/>
  </r>
  <r>
    <d v="2025-05-15T00:00:00"/>
    <s v="Jessica Taylor"/>
    <x v="4"/>
    <x v="5"/>
    <s v="Electronics"/>
    <n v="1"/>
    <n v="1250"/>
    <n v="850"/>
    <n v="1250"/>
    <n v="850"/>
    <n v="400"/>
    <n v="0.32"/>
    <x v="4"/>
  </r>
  <r>
    <d v="2025-05-15T00:00:00"/>
    <s v="Emily Chen"/>
    <x v="1"/>
    <x v="2"/>
    <s v="Furniture"/>
    <n v="8"/>
    <n v="179.99"/>
    <n v="95"/>
    <n v="1439.92"/>
    <n v="760"/>
    <n v="679.92000000000007"/>
    <n v="0.47219289960553368"/>
    <x v="4"/>
  </r>
  <r>
    <d v="2025-05-15T00:00:00"/>
    <s v="James Wilson"/>
    <x v="1"/>
    <x v="3"/>
    <s v="Office Supplies"/>
    <n v="21"/>
    <n v="24.99"/>
    <n v="10"/>
    <n v="524.79"/>
    <n v="210"/>
    <n v="314.78999999999996"/>
    <n v="0.59983993597438978"/>
    <x v="4"/>
  </r>
  <r>
    <d v="2025-05-16T00:00:00"/>
    <s v="David Miller"/>
    <x v="2"/>
    <x v="9"/>
    <s v="Electronics"/>
    <n v="1"/>
    <n v="119.99"/>
    <n v="60"/>
    <n v="119.99"/>
    <n v="60"/>
    <n v="59.989999999999995"/>
    <n v="0.49995832986082173"/>
    <x v="4"/>
  </r>
  <r>
    <d v="2025-05-17T00:00:00"/>
    <s v="Emily Chen"/>
    <x v="1"/>
    <x v="14"/>
    <s v="Electronics"/>
    <n v="9"/>
    <n v="149.99"/>
    <n v="75"/>
    <n v="1349.91"/>
    <n v="675"/>
    <n v="674.91000000000008"/>
    <n v="0.49996666444429633"/>
    <x v="4"/>
  </r>
  <r>
    <d v="2025-05-19T00:00:00"/>
    <s v="Amanda Martinez"/>
    <x v="0"/>
    <x v="3"/>
    <s v="Office Supplies"/>
    <n v="47"/>
    <n v="24.99"/>
    <n v="10"/>
    <n v="1174.53"/>
    <n v="470"/>
    <n v="704.53"/>
    <n v="0.59983993597438978"/>
    <x v="4"/>
  </r>
  <r>
    <d v="2025-05-20T00:00:00"/>
    <s v="Amanda Martinez"/>
    <x v="0"/>
    <x v="7"/>
    <s v="Lighting"/>
    <n v="44"/>
    <n v="49.99"/>
    <n v="22"/>
    <n v="2199.56"/>
    <n v="968"/>
    <n v="1231.56"/>
    <n v="0.55991198239647932"/>
    <x v="4"/>
  </r>
  <r>
    <d v="2025-05-22T00:00:00"/>
    <s v="Emily Chen"/>
    <x v="1"/>
    <x v="8"/>
    <s v="Office Supplies"/>
    <n v="46"/>
    <n v="89.99"/>
    <n v="42"/>
    <n v="4139.54"/>
    <n v="1932"/>
    <n v="2207.54"/>
    <n v="0.53328147571952433"/>
    <x v="4"/>
  </r>
  <r>
    <d v="2025-05-23T00:00:00"/>
    <s v="Jessica Taylor"/>
    <x v="4"/>
    <x v="11"/>
    <s v="Electronics"/>
    <n v="9"/>
    <n v="349.99"/>
    <n v="210"/>
    <n v="3149.91"/>
    <n v="1890"/>
    <n v="1259.9099999999999"/>
    <n v="0.39998285665304723"/>
    <x v="4"/>
  </r>
  <r>
    <d v="2025-05-23T00:00:00"/>
    <s v="David Miller"/>
    <x v="2"/>
    <x v="6"/>
    <s v="Office Supplies"/>
    <n v="43"/>
    <n v="79.989999999999995"/>
    <n v="40"/>
    <n v="3439.5699999999997"/>
    <n v="1720"/>
    <n v="1719.5699999999997"/>
    <n v="0.49993749218652328"/>
    <x v="4"/>
  </r>
  <r>
    <d v="2025-05-24T00:00:00"/>
    <s v="David Miller"/>
    <x v="2"/>
    <x v="7"/>
    <s v="Lighting"/>
    <n v="39"/>
    <n v="49.99"/>
    <n v="22"/>
    <n v="1949.6100000000001"/>
    <n v="858"/>
    <n v="1091.6100000000001"/>
    <n v="0.55991198239647932"/>
    <x v="4"/>
  </r>
  <r>
    <d v="2025-05-24T00:00:00"/>
    <s v="James Wilson"/>
    <x v="1"/>
    <x v="12"/>
    <s v="Electronics"/>
    <n v="7"/>
    <n v="89.99"/>
    <n v="45"/>
    <n v="629.92999999999995"/>
    <n v="315"/>
    <n v="314.92999999999995"/>
    <n v="0.49994443827091894"/>
    <x v="4"/>
  </r>
  <r>
    <d v="2025-05-24T00:00:00"/>
    <s v="David Miller"/>
    <x v="2"/>
    <x v="5"/>
    <s v="Electronics"/>
    <n v="2"/>
    <n v="1250"/>
    <n v="850"/>
    <n v="2500"/>
    <n v="1700"/>
    <n v="800"/>
    <n v="0.32"/>
    <x v="4"/>
  </r>
  <r>
    <d v="2025-05-24T00:00:00"/>
    <s v="Amanda Martinez"/>
    <x v="0"/>
    <x v="9"/>
    <s v="Electronics"/>
    <n v="5"/>
    <n v="119.99"/>
    <n v="60"/>
    <n v="599.94999999999993"/>
    <n v="300"/>
    <n v="299.94999999999993"/>
    <n v="0.49995832986082167"/>
    <x v="4"/>
  </r>
  <r>
    <d v="2025-05-25T00:00:00"/>
    <s v="Sarah Jenkins"/>
    <x v="3"/>
    <x v="4"/>
    <s v="Electronics"/>
    <n v="48"/>
    <n v="29.99"/>
    <n v="12"/>
    <n v="1439.52"/>
    <n v="576"/>
    <n v="863.52"/>
    <n v="0.5998666222074025"/>
    <x v="4"/>
  </r>
  <r>
    <d v="2025-05-27T00:00:00"/>
    <s v="Jessica Taylor"/>
    <x v="4"/>
    <x v="10"/>
    <s v="Furniture"/>
    <n v="12"/>
    <n v="299.99"/>
    <n v="160"/>
    <n v="3599.88"/>
    <n v="1920"/>
    <n v="1679.88"/>
    <n v="0.46664888829627654"/>
    <x v="4"/>
  </r>
  <r>
    <d v="2025-05-27T00:00:00"/>
    <s v="David Miller"/>
    <x v="2"/>
    <x v="2"/>
    <s v="Furniture"/>
    <n v="3"/>
    <n v="179.99"/>
    <n v="95"/>
    <n v="539.97"/>
    <n v="285"/>
    <n v="254.97000000000003"/>
    <n v="0.47219289960553368"/>
    <x v="4"/>
  </r>
  <r>
    <d v="2025-05-27T00:00:00"/>
    <s v="James Wilson"/>
    <x v="1"/>
    <x v="14"/>
    <s v="Electronics"/>
    <n v="14"/>
    <n v="149.99"/>
    <n v="75"/>
    <n v="2099.86"/>
    <n v="1050"/>
    <n v="1049.8600000000001"/>
    <n v="0.49996666444429633"/>
    <x v="4"/>
  </r>
  <r>
    <d v="2025-05-27T00:00:00"/>
    <s v="Amanda Martinez"/>
    <x v="0"/>
    <x v="13"/>
    <s v="Furniture"/>
    <n v="2"/>
    <n v="850"/>
    <n v="520"/>
    <n v="1700"/>
    <n v="1040"/>
    <n v="660"/>
    <n v="0.38823529411764707"/>
    <x v="4"/>
  </r>
  <r>
    <d v="2025-05-27T00:00:00"/>
    <s v="Sarah Jenkins"/>
    <x v="3"/>
    <x v="2"/>
    <s v="Furniture"/>
    <n v="12"/>
    <n v="179.99"/>
    <n v="95"/>
    <n v="2159.88"/>
    <n v="1140"/>
    <n v="1019.8800000000001"/>
    <n v="0.47219289960553368"/>
    <x v="4"/>
  </r>
  <r>
    <d v="2025-05-28T00:00:00"/>
    <s v="Michael Scott"/>
    <x v="0"/>
    <x v="1"/>
    <s v="Lighting"/>
    <n v="23"/>
    <n v="34.99"/>
    <n v="14"/>
    <n v="804.7700000000001"/>
    <n v="322"/>
    <n v="482.7700000000001"/>
    <n v="0.59988568162332101"/>
    <x v="4"/>
  </r>
  <r>
    <d v="2025-05-28T00:00:00"/>
    <s v="Michael Scott"/>
    <x v="0"/>
    <x v="4"/>
    <s v="Electronics"/>
    <n v="41"/>
    <n v="29.99"/>
    <n v="12"/>
    <n v="1229.5899999999999"/>
    <n v="492"/>
    <n v="737.58999999999992"/>
    <n v="0.59986662220740239"/>
    <x v="4"/>
  </r>
  <r>
    <d v="2025-05-30T00:00:00"/>
    <s v="Sarah Jenkins"/>
    <x v="3"/>
    <x v="6"/>
    <s v="Office Supplies"/>
    <n v="48"/>
    <n v="79.989999999999995"/>
    <n v="40"/>
    <n v="3839.5199999999995"/>
    <n v="1920"/>
    <n v="1919.5199999999995"/>
    <n v="0.49993749218652328"/>
    <x v="4"/>
  </r>
  <r>
    <d v="2025-05-30T00:00:00"/>
    <s v="Amanda Martinez"/>
    <x v="0"/>
    <x v="10"/>
    <s v="Furniture"/>
    <n v="11"/>
    <n v="299.99"/>
    <n v="160"/>
    <n v="3299.8900000000003"/>
    <n v="1760"/>
    <n v="1539.8900000000003"/>
    <n v="0.4666488882962766"/>
    <x v="4"/>
  </r>
  <r>
    <d v="2025-05-31T00:00:00"/>
    <s v="James Wilson"/>
    <x v="1"/>
    <x v="4"/>
    <s v="Electronics"/>
    <n v="21"/>
    <n v="29.99"/>
    <n v="12"/>
    <n v="629.79"/>
    <n v="252"/>
    <n v="377.78999999999996"/>
    <n v="0.59986662220740239"/>
    <x v="4"/>
  </r>
  <r>
    <d v="2025-05-31T00:00:00"/>
    <s v="Sarah Jenkins"/>
    <x v="3"/>
    <x v="11"/>
    <s v="Electronics"/>
    <n v="10"/>
    <n v="349.99"/>
    <n v="210"/>
    <n v="3499.9"/>
    <n v="2100"/>
    <n v="1399.9"/>
    <n v="0.39998285665304723"/>
    <x v="4"/>
  </r>
  <r>
    <d v="2025-06-01T00:00:00"/>
    <s v="Jessica Taylor"/>
    <x v="4"/>
    <x v="5"/>
    <s v="Electronics"/>
    <n v="1"/>
    <n v="1250"/>
    <n v="850"/>
    <n v="1250"/>
    <n v="850"/>
    <n v="400"/>
    <n v="0.32"/>
    <x v="5"/>
  </r>
  <r>
    <d v="2025-06-01T00:00:00"/>
    <s v="Jessica Taylor"/>
    <x v="4"/>
    <x v="8"/>
    <s v="Office Supplies"/>
    <n v="16"/>
    <n v="89.99"/>
    <n v="42"/>
    <n v="1439.84"/>
    <n v="672"/>
    <n v="767.83999999999992"/>
    <n v="0.53328147571952433"/>
    <x v="5"/>
  </r>
  <r>
    <d v="2025-06-01T00:00:00"/>
    <s v="Michael Scott"/>
    <x v="0"/>
    <x v="14"/>
    <s v="Electronics"/>
    <n v="14"/>
    <n v="149.99"/>
    <n v="75"/>
    <n v="2099.86"/>
    <n v="1050"/>
    <n v="1049.8600000000001"/>
    <n v="0.49996666444429633"/>
    <x v="5"/>
  </r>
  <r>
    <d v="2025-06-02T00:00:00"/>
    <s v="David Miller"/>
    <x v="2"/>
    <x v="0"/>
    <s v="Furniture"/>
    <n v="3"/>
    <n v="599.99"/>
    <n v="360"/>
    <n v="1799.97"/>
    <n v="1080"/>
    <n v="719.97"/>
    <n v="0.39998999983333056"/>
    <x v="5"/>
  </r>
  <r>
    <d v="2025-06-02T00:00:00"/>
    <s v="James Wilson"/>
    <x v="1"/>
    <x v="5"/>
    <s v="Electronics"/>
    <n v="5"/>
    <n v="1250"/>
    <n v="850"/>
    <n v="6250"/>
    <n v="4250"/>
    <n v="2000"/>
    <n v="0.32"/>
    <x v="5"/>
  </r>
  <r>
    <d v="2025-06-03T00:00:00"/>
    <s v="Michael Scott"/>
    <x v="0"/>
    <x v="0"/>
    <s v="Furniture"/>
    <n v="1"/>
    <n v="599.99"/>
    <n v="360"/>
    <n v="599.99"/>
    <n v="360"/>
    <n v="239.99"/>
    <n v="0.39998999983333056"/>
    <x v="5"/>
  </r>
  <r>
    <d v="2025-06-04T00:00:00"/>
    <s v="David Miller"/>
    <x v="2"/>
    <x v="7"/>
    <s v="Lighting"/>
    <n v="27"/>
    <n v="49.99"/>
    <n v="22"/>
    <n v="1349.73"/>
    <n v="594"/>
    <n v="755.73"/>
    <n v="0.55991198239647932"/>
    <x v="5"/>
  </r>
  <r>
    <d v="2025-06-06T00:00:00"/>
    <s v="David Miller"/>
    <x v="2"/>
    <x v="8"/>
    <s v="Office Supplies"/>
    <n v="41"/>
    <n v="89.99"/>
    <n v="42"/>
    <n v="3689.5899999999997"/>
    <n v="1722"/>
    <n v="1967.5899999999997"/>
    <n v="0.53328147571952433"/>
    <x v="5"/>
  </r>
  <r>
    <d v="2025-06-07T00:00:00"/>
    <s v="Robert Chen"/>
    <x v="3"/>
    <x v="10"/>
    <s v="Furniture"/>
    <n v="6"/>
    <n v="299.99"/>
    <n v="160"/>
    <n v="1799.94"/>
    <n v="960"/>
    <n v="839.94"/>
    <n v="0.46664888829627654"/>
    <x v="5"/>
  </r>
  <r>
    <d v="2025-06-07T00:00:00"/>
    <s v="Jessica Taylor"/>
    <x v="4"/>
    <x v="9"/>
    <s v="Electronics"/>
    <n v="6"/>
    <n v="119.99"/>
    <n v="60"/>
    <n v="719.93999999999994"/>
    <n v="360"/>
    <n v="359.93999999999994"/>
    <n v="0.49995832986082167"/>
    <x v="5"/>
  </r>
  <r>
    <d v="2025-06-07T00:00:00"/>
    <s v="Amanda Martinez"/>
    <x v="0"/>
    <x v="13"/>
    <s v="Furniture"/>
    <n v="1"/>
    <n v="850"/>
    <n v="520"/>
    <n v="850"/>
    <n v="520"/>
    <n v="330"/>
    <n v="0.38823529411764707"/>
    <x v="5"/>
  </r>
  <r>
    <d v="2025-06-09T00:00:00"/>
    <s v="Emily Chen"/>
    <x v="1"/>
    <x v="12"/>
    <s v="Electronics"/>
    <n v="22"/>
    <n v="89.99"/>
    <n v="45"/>
    <n v="1979.78"/>
    <n v="990"/>
    <n v="989.78"/>
    <n v="0.499944438270919"/>
    <x v="5"/>
  </r>
  <r>
    <d v="2025-06-09T00:00:00"/>
    <s v="Amanda Martinez"/>
    <x v="0"/>
    <x v="3"/>
    <s v="Office Supplies"/>
    <n v="29"/>
    <n v="24.99"/>
    <n v="10"/>
    <n v="724.70999999999992"/>
    <n v="290"/>
    <n v="434.70999999999992"/>
    <n v="0.59983993597438967"/>
    <x v="5"/>
  </r>
  <r>
    <d v="2025-06-09T00:00:00"/>
    <s v="Emily Chen"/>
    <x v="1"/>
    <x v="8"/>
    <s v="Office Supplies"/>
    <n v="16"/>
    <n v="89.99"/>
    <n v="42"/>
    <n v="1439.84"/>
    <n v="672"/>
    <n v="767.83999999999992"/>
    <n v="0.53328147571952433"/>
    <x v="5"/>
  </r>
  <r>
    <d v="2025-06-09T00:00:00"/>
    <s v="Sarah Jenkins"/>
    <x v="3"/>
    <x v="5"/>
    <s v="Electronics"/>
    <n v="3"/>
    <n v="1250"/>
    <n v="850"/>
    <n v="3750"/>
    <n v="2550"/>
    <n v="1200"/>
    <n v="0.32"/>
    <x v="5"/>
  </r>
  <r>
    <d v="2025-06-10T00:00:00"/>
    <s v="Jessica Taylor"/>
    <x v="4"/>
    <x v="14"/>
    <s v="Electronics"/>
    <n v="10"/>
    <n v="149.99"/>
    <n v="75"/>
    <n v="1499.9"/>
    <n v="750"/>
    <n v="749.90000000000009"/>
    <n v="0.49996666444429633"/>
    <x v="5"/>
  </r>
  <r>
    <d v="2025-06-10T00:00:00"/>
    <s v="David Miller"/>
    <x v="2"/>
    <x v="3"/>
    <s v="Office Supplies"/>
    <n v="45"/>
    <n v="24.99"/>
    <n v="10"/>
    <n v="1124.55"/>
    <n v="450"/>
    <n v="674.55"/>
    <n v="0.59983993597438978"/>
    <x v="5"/>
  </r>
  <r>
    <d v="2025-06-10T00:00:00"/>
    <s v="James Wilson"/>
    <x v="1"/>
    <x v="1"/>
    <s v="Lighting"/>
    <n v="49"/>
    <n v="34.99"/>
    <n v="14"/>
    <n v="1714.51"/>
    <n v="686"/>
    <n v="1028.51"/>
    <n v="0.5998856816233209"/>
    <x v="5"/>
  </r>
  <r>
    <d v="2025-06-10T00:00:00"/>
    <s v="Emily Chen"/>
    <x v="1"/>
    <x v="1"/>
    <s v="Lighting"/>
    <n v="30"/>
    <n v="34.99"/>
    <n v="14"/>
    <n v="1049.7"/>
    <n v="420"/>
    <n v="629.70000000000005"/>
    <n v="0.59988568162332101"/>
    <x v="5"/>
  </r>
  <r>
    <d v="2025-06-11T00:00:00"/>
    <s v="Amanda Martinez"/>
    <x v="0"/>
    <x v="4"/>
    <s v="Electronics"/>
    <n v="36"/>
    <n v="29.99"/>
    <n v="12"/>
    <n v="1079.6399999999999"/>
    <n v="432"/>
    <n v="647.63999999999987"/>
    <n v="0.59986662220740239"/>
    <x v="5"/>
  </r>
  <r>
    <d v="2025-06-12T00:00:00"/>
    <s v="David Miller"/>
    <x v="2"/>
    <x v="3"/>
    <s v="Office Supplies"/>
    <n v="14"/>
    <n v="24.99"/>
    <n v="10"/>
    <n v="349.85999999999996"/>
    <n v="140"/>
    <n v="209.85999999999996"/>
    <n v="0.59983993597438967"/>
    <x v="5"/>
  </r>
  <r>
    <d v="2025-06-12T00:00:00"/>
    <s v="Emily Chen"/>
    <x v="1"/>
    <x v="14"/>
    <s v="Electronics"/>
    <n v="7"/>
    <n v="149.99"/>
    <n v="75"/>
    <n v="1049.93"/>
    <n v="525"/>
    <n v="524.93000000000006"/>
    <n v="0.49996666444429633"/>
    <x v="5"/>
  </r>
  <r>
    <d v="2025-06-14T00:00:00"/>
    <s v="Emily Chen"/>
    <x v="1"/>
    <x v="10"/>
    <s v="Furniture"/>
    <n v="1"/>
    <n v="299.99"/>
    <n v="160"/>
    <n v="299.99"/>
    <n v="160"/>
    <n v="139.99"/>
    <n v="0.46664888829627654"/>
    <x v="5"/>
  </r>
  <r>
    <d v="2025-06-16T00:00:00"/>
    <s v="Robert Chen"/>
    <x v="3"/>
    <x v="7"/>
    <s v="Lighting"/>
    <n v="27"/>
    <n v="49.99"/>
    <n v="22"/>
    <n v="1349.73"/>
    <n v="594"/>
    <n v="755.73"/>
    <n v="0.55991198239647932"/>
    <x v="5"/>
  </r>
  <r>
    <d v="2025-06-18T00:00:00"/>
    <s v="Emily Chen"/>
    <x v="1"/>
    <x v="0"/>
    <s v="Furniture"/>
    <n v="2"/>
    <n v="599.99"/>
    <n v="360"/>
    <n v="1199.98"/>
    <n v="720"/>
    <n v="479.98"/>
    <n v="0.39998999983333056"/>
    <x v="5"/>
  </r>
  <r>
    <d v="2025-06-19T00:00:00"/>
    <s v="James Wilson"/>
    <x v="1"/>
    <x v="4"/>
    <s v="Electronics"/>
    <n v="25"/>
    <n v="29.99"/>
    <n v="12"/>
    <n v="749.75"/>
    <n v="300"/>
    <n v="449.75"/>
    <n v="0.5998666222074025"/>
    <x v="5"/>
  </r>
  <r>
    <d v="2025-06-19T00:00:00"/>
    <s v="Jessica Taylor"/>
    <x v="4"/>
    <x v="1"/>
    <s v="Lighting"/>
    <n v="26"/>
    <n v="34.99"/>
    <n v="14"/>
    <n v="909.74"/>
    <n v="364"/>
    <n v="545.74"/>
    <n v="0.5998856816233209"/>
    <x v="5"/>
  </r>
  <r>
    <d v="2025-06-19T00:00:00"/>
    <s v="James Wilson"/>
    <x v="1"/>
    <x v="12"/>
    <s v="Electronics"/>
    <n v="11"/>
    <n v="89.99"/>
    <n v="45"/>
    <n v="989.89"/>
    <n v="495"/>
    <n v="494.89"/>
    <n v="0.499944438270919"/>
    <x v="5"/>
  </r>
  <r>
    <d v="2025-06-19T00:00:00"/>
    <s v="Michael Scott"/>
    <x v="0"/>
    <x v="12"/>
    <s v="Electronics"/>
    <n v="18"/>
    <n v="89.99"/>
    <n v="45"/>
    <n v="1619.82"/>
    <n v="810"/>
    <n v="809.81999999999994"/>
    <n v="0.49994443827091894"/>
    <x v="5"/>
  </r>
  <r>
    <d v="2025-06-20T00:00:00"/>
    <s v="David Miller"/>
    <x v="2"/>
    <x v="5"/>
    <s v="Electronics"/>
    <n v="5"/>
    <n v="1250"/>
    <n v="850"/>
    <n v="6250"/>
    <n v="4250"/>
    <n v="2000"/>
    <n v="0.32"/>
    <x v="5"/>
  </r>
  <r>
    <d v="2025-06-21T00:00:00"/>
    <s v="Jessica Taylor"/>
    <x v="4"/>
    <x v="10"/>
    <s v="Furniture"/>
    <n v="7"/>
    <n v="299.99"/>
    <n v="160"/>
    <n v="2099.9300000000003"/>
    <n v="1120"/>
    <n v="979.93000000000029"/>
    <n v="0.4666488882962766"/>
    <x v="5"/>
  </r>
  <r>
    <d v="2025-06-21T00:00:00"/>
    <s v="Robert Chen"/>
    <x v="3"/>
    <x v="9"/>
    <s v="Electronics"/>
    <n v="9"/>
    <n v="119.99"/>
    <n v="60"/>
    <n v="1079.9099999999999"/>
    <n v="540"/>
    <n v="539.90999999999985"/>
    <n v="0.49995832986082167"/>
    <x v="5"/>
  </r>
  <r>
    <d v="2025-06-21T00:00:00"/>
    <s v="Jessica Taylor"/>
    <x v="4"/>
    <x v="1"/>
    <s v="Lighting"/>
    <n v="12"/>
    <n v="34.99"/>
    <n v="14"/>
    <n v="419.88"/>
    <n v="168"/>
    <n v="251.88"/>
    <n v="0.5998856816233209"/>
    <x v="5"/>
  </r>
  <r>
    <d v="2025-06-21T00:00:00"/>
    <s v="Jessica Taylor"/>
    <x v="4"/>
    <x v="6"/>
    <s v="Office Supplies"/>
    <n v="27"/>
    <n v="79.989999999999995"/>
    <n v="40"/>
    <n v="2159.73"/>
    <n v="1080"/>
    <n v="1079.73"/>
    <n v="0.49993749218652334"/>
    <x v="5"/>
  </r>
  <r>
    <d v="2025-06-22T00:00:00"/>
    <s v="Amanda Martinez"/>
    <x v="0"/>
    <x v="10"/>
    <s v="Furniture"/>
    <n v="13"/>
    <n v="299.99"/>
    <n v="160"/>
    <n v="3899.87"/>
    <n v="2080"/>
    <n v="1819.87"/>
    <n v="0.46664888829627654"/>
    <x v="5"/>
  </r>
  <r>
    <d v="2025-06-23T00:00:00"/>
    <s v="Jessica Taylor"/>
    <x v="4"/>
    <x v="7"/>
    <s v="Lighting"/>
    <n v="22"/>
    <n v="49.99"/>
    <n v="22"/>
    <n v="1099.78"/>
    <n v="484"/>
    <n v="615.78"/>
    <n v="0.55991198239647932"/>
    <x v="5"/>
  </r>
  <r>
    <d v="2025-06-24T00:00:00"/>
    <s v="Robert Chen"/>
    <x v="3"/>
    <x v="0"/>
    <s v="Furniture"/>
    <n v="4"/>
    <n v="599.99"/>
    <n v="360"/>
    <n v="2399.96"/>
    <n v="1440"/>
    <n v="959.96"/>
    <n v="0.39998999983333056"/>
    <x v="5"/>
  </r>
  <r>
    <d v="2025-06-25T00:00:00"/>
    <s v="James Wilson"/>
    <x v="1"/>
    <x v="14"/>
    <s v="Electronics"/>
    <n v="7"/>
    <n v="149.99"/>
    <n v="75"/>
    <n v="1049.93"/>
    <n v="525"/>
    <n v="524.93000000000006"/>
    <n v="0.49996666444429633"/>
    <x v="5"/>
  </r>
  <r>
    <d v="2025-06-25T00:00:00"/>
    <s v="Jessica Taylor"/>
    <x v="4"/>
    <x v="3"/>
    <s v="Office Supplies"/>
    <n v="39"/>
    <n v="24.99"/>
    <n v="10"/>
    <n v="974.6099999999999"/>
    <n v="390"/>
    <n v="584.6099999999999"/>
    <n v="0.59983993597438967"/>
    <x v="5"/>
  </r>
  <r>
    <d v="2025-06-28T00:00:00"/>
    <s v="Sarah Jenkins"/>
    <x v="3"/>
    <x v="1"/>
    <s v="Lighting"/>
    <n v="22"/>
    <n v="34.99"/>
    <n v="14"/>
    <n v="769.78000000000009"/>
    <n v="308"/>
    <n v="461.78000000000009"/>
    <n v="0.59988568162332101"/>
    <x v="5"/>
  </r>
  <r>
    <d v="2025-06-29T00:00:00"/>
    <s v="David Miller"/>
    <x v="2"/>
    <x v="3"/>
    <s v="Office Supplies"/>
    <n v="46"/>
    <n v="24.99"/>
    <n v="10"/>
    <n v="1149.54"/>
    <n v="460"/>
    <n v="689.54"/>
    <n v="0.59983993597438978"/>
    <x v="5"/>
  </r>
  <r>
    <d v="2025-06-29T00:00:00"/>
    <s v="Jessica Taylor"/>
    <x v="4"/>
    <x v="12"/>
    <s v="Electronics"/>
    <n v="43"/>
    <n v="89.99"/>
    <n v="45"/>
    <n v="3869.5699999999997"/>
    <n v="1935"/>
    <n v="1934.5699999999997"/>
    <n v="0.49994443827091894"/>
    <x v="5"/>
  </r>
  <r>
    <d v="2025-06-29T00:00:00"/>
    <s v="David Miller"/>
    <x v="2"/>
    <x v="14"/>
    <s v="Electronics"/>
    <n v="1"/>
    <n v="149.99"/>
    <n v="75"/>
    <n v="149.99"/>
    <n v="75"/>
    <n v="74.990000000000009"/>
    <n v="0.49996666444429633"/>
    <x v="5"/>
  </r>
  <r>
    <d v="2025-06-30T00:00:00"/>
    <s v="Sarah Jenkins"/>
    <x v="3"/>
    <x v="14"/>
    <s v="Electronics"/>
    <n v="14"/>
    <n v="149.99"/>
    <n v="75"/>
    <n v="2099.86"/>
    <n v="1050"/>
    <n v="1049.8600000000001"/>
    <n v="0.49996666444429633"/>
    <x v="5"/>
  </r>
  <r>
    <d v="2025-07-03T00:00:00"/>
    <s v="Sarah Jenkins"/>
    <x v="3"/>
    <x v="14"/>
    <s v="Electronics"/>
    <n v="8"/>
    <n v="149.99"/>
    <n v="75"/>
    <n v="1199.92"/>
    <n v="600"/>
    <n v="599.92000000000007"/>
    <n v="0.49996666444429633"/>
    <x v="6"/>
  </r>
  <r>
    <d v="2025-07-04T00:00:00"/>
    <s v="David Miller"/>
    <x v="2"/>
    <x v="12"/>
    <s v="Electronics"/>
    <n v="39"/>
    <n v="89.99"/>
    <n v="45"/>
    <n v="3509.6099999999997"/>
    <n v="1755"/>
    <n v="1754.6099999999997"/>
    <n v="0.49994443827091894"/>
    <x v="6"/>
  </r>
  <r>
    <d v="2025-07-05T00:00:00"/>
    <s v="Emily Chen"/>
    <x v="1"/>
    <x v="7"/>
    <s v="Lighting"/>
    <n v="48"/>
    <n v="49.99"/>
    <n v="22"/>
    <n v="2399.52"/>
    <n v="1056"/>
    <n v="1343.52"/>
    <n v="0.55991198239647932"/>
    <x v="6"/>
  </r>
  <r>
    <d v="2025-07-06T00:00:00"/>
    <s v="Michael Scott"/>
    <x v="0"/>
    <x v="3"/>
    <s v="Office Supplies"/>
    <n v="49"/>
    <n v="24.99"/>
    <n v="10"/>
    <n v="1224.51"/>
    <n v="490"/>
    <n v="734.51"/>
    <n v="0.59983993597438978"/>
    <x v="6"/>
  </r>
  <r>
    <d v="2025-07-06T00:00:00"/>
    <s v="Amanda Martinez"/>
    <x v="0"/>
    <x v="2"/>
    <s v="Furniture"/>
    <n v="2"/>
    <n v="179.99"/>
    <n v="95"/>
    <n v="359.98"/>
    <n v="190"/>
    <n v="169.98000000000002"/>
    <n v="0.47219289960553368"/>
    <x v="6"/>
  </r>
  <r>
    <d v="2025-07-06T00:00:00"/>
    <s v="Emily Chen"/>
    <x v="1"/>
    <x v="3"/>
    <s v="Office Supplies"/>
    <n v="7"/>
    <n v="24.99"/>
    <n v="10"/>
    <n v="174.92999999999998"/>
    <n v="70"/>
    <n v="104.92999999999998"/>
    <n v="0.59983993597438967"/>
    <x v="6"/>
  </r>
  <r>
    <d v="2025-07-07T00:00:00"/>
    <s v="Emily Chen"/>
    <x v="1"/>
    <x v="11"/>
    <s v="Electronics"/>
    <n v="5"/>
    <n v="349.99"/>
    <n v="210"/>
    <n v="1749.95"/>
    <n v="1050"/>
    <n v="699.95"/>
    <n v="0.39998285665304723"/>
    <x v="6"/>
  </r>
  <r>
    <d v="2025-07-07T00:00:00"/>
    <s v="James Wilson"/>
    <x v="1"/>
    <x v="0"/>
    <s v="Furniture"/>
    <n v="3"/>
    <n v="599.99"/>
    <n v="360"/>
    <n v="1799.97"/>
    <n v="1080"/>
    <n v="719.97"/>
    <n v="0.39998999983333056"/>
    <x v="6"/>
  </r>
  <r>
    <d v="2025-07-07T00:00:00"/>
    <s v="Amanda Martinez"/>
    <x v="0"/>
    <x v="6"/>
    <s v="Office Supplies"/>
    <n v="44"/>
    <n v="79.989999999999995"/>
    <n v="40"/>
    <n v="3519.56"/>
    <n v="1760"/>
    <n v="1759.56"/>
    <n v="0.49993749218652328"/>
    <x v="6"/>
  </r>
  <r>
    <d v="2025-07-08T00:00:00"/>
    <s v="Amanda Martinez"/>
    <x v="0"/>
    <x v="2"/>
    <s v="Furniture"/>
    <n v="10"/>
    <n v="179.99"/>
    <n v="95"/>
    <n v="1799.9"/>
    <n v="950"/>
    <n v="849.90000000000009"/>
    <n v="0.47219289960553368"/>
    <x v="6"/>
  </r>
  <r>
    <d v="2025-07-08T00:00:00"/>
    <s v="Emily Chen"/>
    <x v="1"/>
    <x v="0"/>
    <s v="Furniture"/>
    <n v="4"/>
    <n v="599.99"/>
    <n v="360"/>
    <n v="2399.96"/>
    <n v="1440"/>
    <n v="959.96"/>
    <n v="0.39998999983333056"/>
    <x v="6"/>
  </r>
  <r>
    <d v="2025-07-09T00:00:00"/>
    <s v="Jessica Taylor"/>
    <x v="4"/>
    <x v="4"/>
    <s v="Electronics"/>
    <n v="43"/>
    <n v="29.99"/>
    <n v="12"/>
    <n v="1289.57"/>
    <n v="516"/>
    <n v="773.56999999999994"/>
    <n v="0.5998666222074025"/>
    <x v="6"/>
  </r>
  <r>
    <d v="2025-07-09T00:00:00"/>
    <s v="James Wilson"/>
    <x v="1"/>
    <x v="10"/>
    <s v="Furniture"/>
    <n v="8"/>
    <n v="299.99"/>
    <n v="160"/>
    <n v="2399.92"/>
    <n v="1280"/>
    <n v="1119.92"/>
    <n v="0.46664888829627654"/>
    <x v="6"/>
  </r>
  <r>
    <d v="2025-07-09T00:00:00"/>
    <s v="James Wilson"/>
    <x v="1"/>
    <x v="10"/>
    <s v="Furniture"/>
    <n v="1"/>
    <n v="299.99"/>
    <n v="160"/>
    <n v="299.99"/>
    <n v="160"/>
    <n v="139.99"/>
    <n v="0.46664888829627654"/>
    <x v="6"/>
  </r>
  <r>
    <d v="2025-07-09T00:00:00"/>
    <s v="Sarah Jenkins"/>
    <x v="3"/>
    <x v="13"/>
    <s v="Furniture"/>
    <n v="4"/>
    <n v="850"/>
    <n v="520"/>
    <n v="3400"/>
    <n v="2080"/>
    <n v="1320"/>
    <n v="0.38823529411764707"/>
    <x v="6"/>
  </r>
  <r>
    <d v="2025-07-10T00:00:00"/>
    <s v="Robert Chen"/>
    <x v="3"/>
    <x v="10"/>
    <s v="Furniture"/>
    <n v="13"/>
    <n v="299.99"/>
    <n v="160"/>
    <n v="3899.87"/>
    <n v="2080"/>
    <n v="1819.87"/>
    <n v="0.46664888829627654"/>
    <x v="6"/>
  </r>
  <r>
    <d v="2025-07-10T00:00:00"/>
    <s v="Amanda Martinez"/>
    <x v="0"/>
    <x v="3"/>
    <s v="Office Supplies"/>
    <n v="26"/>
    <n v="24.99"/>
    <n v="10"/>
    <n v="649.74"/>
    <n v="260"/>
    <n v="389.74"/>
    <n v="0.59983993597438978"/>
    <x v="6"/>
  </r>
  <r>
    <d v="2025-07-11T00:00:00"/>
    <s v="Emily Chen"/>
    <x v="1"/>
    <x v="12"/>
    <s v="Electronics"/>
    <n v="29"/>
    <n v="89.99"/>
    <n v="45"/>
    <n v="2609.71"/>
    <n v="1305"/>
    <n v="1304.71"/>
    <n v="0.499944438270919"/>
    <x v="6"/>
  </r>
  <r>
    <d v="2025-07-11T00:00:00"/>
    <s v="Sarah Jenkins"/>
    <x v="3"/>
    <x v="6"/>
    <s v="Office Supplies"/>
    <n v="17"/>
    <n v="79.989999999999995"/>
    <n v="40"/>
    <n v="1359.83"/>
    <n v="680"/>
    <n v="679.82999999999993"/>
    <n v="0.49993749218652328"/>
    <x v="6"/>
  </r>
  <r>
    <d v="2025-07-11T00:00:00"/>
    <s v="David Miller"/>
    <x v="2"/>
    <x v="9"/>
    <s v="Electronics"/>
    <n v="2"/>
    <n v="119.99"/>
    <n v="60"/>
    <n v="239.98"/>
    <n v="120"/>
    <n v="119.97999999999999"/>
    <n v="0.49995832986082173"/>
    <x v="6"/>
  </r>
  <r>
    <d v="2025-07-13T00:00:00"/>
    <s v="Michael Scott"/>
    <x v="0"/>
    <x v="5"/>
    <s v="Electronics"/>
    <n v="1"/>
    <n v="1250"/>
    <n v="850"/>
    <n v="1250"/>
    <n v="850"/>
    <n v="400"/>
    <n v="0.32"/>
    <x v="6"/>
  </r>
  <r>
    <d v="2025-07-14T00:00:00"/>
    <s v="Robert Chen"/>
    <x v="3"/>
    <x v="13"/>
    <s v="Furniture"/>
    <n v="5"/>
    <n v="850"/>
    <n v="520"/>
    <n v="4250"/>
    <n v="2600"/>
    <n v="1650"/>
    <n v="0.38823529411764707"/>
    <x v="6"/>
  </r>
  <r>
    <d v="2025-07-15T00:00:00"/>
    <s v="Robert Chen"/>
    <x v="3"/>
    <x v="8"/>
    <s v="Office Supplies"/>
    <n v="46"/>
    <n v="89.99"/>
    <n v="42"/>
    <n v="4139.54"/>
    <n v="1932"/>
    <n v="2207.54"/>
    <n v="0.53328147571952433"/>
    <x v="6"/>
  </r>
  <r>
    <d v="2025-07-17T00:00:00"/>
    <s v="Robert Chen"/>
    <x v="3"/>
    <x v="8"/>
    <s v="Office Supplies"/>
    <n v="48"/>
    <n v="89.99"/>
    <n v="42"/>
    <n v="4319.5199999999995"/>
    <n v="2016"/>
    <n v="2303.5199999999995"/>
    <n v="0.53328147571952433"/>
    <x v="6"/>
  </r>
  <r>
    <d v="2025-07-17T00:00:00"/>
    <s v="James Wilson"/>
    <x v="1"/>
    <x v="5"/>
    <s v="Electronics"/>
    <n v="2"/>
    <n v="1250"/>
    <n v="850"/>
    <n v="2500"/>
    <n v="1700"/>
    <n v="800"/>
    <n v="0.32"/>
    <x v="6"/>
  </r>
  <r>
    <d v="2025-07-17T00:00:00"/>
    <s v="David Miller"/>
    <x v="2"/>
    <x v="0"/>
    <s v="Furniture"/>
    <n v="3"/>
    <n v="599.99"/>
    <n v="360"/>
    <n v="1799.97"/>
    <n v="1080"/>
    <n v="719.97"/>
    <n v="0.39998999983333056"/>
    <x v="6"/>
  </r>
  <r>
    <d v="2025-07-18T00:00:00"/>
    <s v="Robert Chen"/>
    <x v="3"/>
    <x v="5"/>
    <s v="Electronics"/>
    <n v="2"/>
    <n v="1250"/>
    <n v="850"/>
    <n v="2500"/>
    <n v="1700"/>
    <n v="800"/>
    <n v="0.32"/>
    <x v="6"/>
  </r>
  <r>
    <d v="2025-07-20T00:00:00"/>
    <s v="David Miller"/>
    <x v="2"/>
    <x v="5"/>
    <s v="Electronics"/>
    <n v="2"/>
    <n v="1250"/>
    <n v="850"/>
    <n v="2500"/>
    <n v="1700"/>
    <n v="800"/>
    <n v="0.32"/>
    <x v="6"/>
  </r>
  <r>
    <d v="2025-07-20T00:00:00"/>
    <s v="Jessica Taylor"/>
    <x v="4"/>
    <x v="8"/>
    <s v="Office Supplies"/>
    <n v="34"/>
    <n v="89.99"/>
    <n v="42"/>
    <n v="3059.66"/>
    <n v="1428"/>
    <n v="1631.6599999999999"/>
    <n v="0.53328147571952433"/>
    <x v="6"/>
  </r>
  <r>
    <d v="2025-07-21T00:00:00"/>
    <s v="Robert Chen"/>
    <x v="3"/>
    <x v="13"/>
    <s v="Furniture"/>
    <n v="3"/>
    <n v="850"/>
    <n v="520"/>
    <n v="2550"/>
    <n v="1560"/>
    <n v="990"/>
    <n v="0.38823529411764707"/>
    <x v="6"/>
  </r>
  <r>
    <d v="2025-07-22T00:00:00"/>
    <s v="Michael Scott"/>
    <x v="0"/>
    <x v="4"/>
    <s v="Electronics"/>
    <n v="17"/>
    <n v="29.99"/>
    <n v="12"/>
    <n v="509.83"/>
    <n v="204"/>
    <n v="305.83"/>
    <n v="0.5998666222074025"/>
    <x v="6"/>
  </r>
  <r>
    <d v="2025-07-23T00:00:00"/>
    <s v="David Miller"/>
    <x v="2"/>
    <x v="3"/>
    <s v="Office Supplies"/>
    <n v="17"/>
    <n v="24.99"/>
    <n v="10"/>
    <n v="424.83"/>
    <n v="170"/>
    <n v="254.82999999999998"/>
    <n v="0.59983993597438978"/>
    <x v="6"/>
  </r>
  <r>
    <d v="2025-07-25T00:00:00"/>
    <s v="David Miller"/>
    <x v="2"/>
    <x v="14"/>
    <s v="Electronics"/>
    <n v="2"/>
    <n v="149.99"/>
    <n v="75"/>
    <n v="299.98"/>
    <n v="150"/>
    <n v="149.98000000000002"/>
    <n v="0.49996666444429633"/>
    <x v="6"/>
  </r>
  <r>
    <d v="2025-07-26T00:00:00"/>
    <s v="Michael Scott"/>
    <x v="0"/>
    <x v="10"/>
    <s v="Furniture"/>
    <n v="3"/>
    <n v="299.99"/>
    <n v="160"/>
    <n v="899.97"/>
    <n v="480"/>
    <n v="419.97"/>
    <n v="0.46664888829627654"/>
    <x v="6"/>
  </r>
  <r>
    <d v="2025-07-27T00:00:00"/>
    <s v="Robert Chen"/>
    <x v="3"/>
    <x v="10"/>
    <s v="Furniture"/>
    <n v="11"/>
    <n v="299.99"/>
    <n v="160"/>
    <n v="3299.8900000000003"/>
    <n v="1760"/>
    <n v="1539.8900000000003"/>
    <n v="0.4666488882962766"/>
    <x v="6"/>
  </r>
  <r>
    <d v="2025-07-27T00:00:00"/>
    <s v="Michael Scott"/>
    <x v="0"/>
    <x v="12"/>
    <s v="Electronics"/>
    <n v="43"/>
    <n v="89.99"/>
    <n v="45"/>
    <n v="3869.5699999999997"/>
    <n v="1935"/>
    <n v="1934.5699999999997"/>
    <n v="0.49994443827091894"/>
    <x v="6"/>
  </r>
  <r>
    <d v="2025-07-27T00:00:00"/>
    <s v="David Miller"/>
    <x v="2"/>
    <x v="13"/>
    <s v="Furniture"/>
    <n v="4"/>
    <n v="850"/>
    <n v="520"/>
    <n v="3400"/>
    <n v="2080"/>
    <n v="1320"/>
    <n v="0.38823529411764707"/>
    <x v="6"/>
  </r>
  <r>
    <d v="2025-08-01T00:00:00"/>
    <s v="Michael Scott"/>
    <x v="0"/>
    <x v="12"/>
    <s v="Electronics"/>
    <n v="33"/>
    <n v="89.99"/>
    <n v="45"/>
    <n v="2969.6699999999996"/>
    <n v="1485"/>
    <n v="1484.6699999999996"/>
    <n v="0.49994443827091894"/>
    <x v="7"/>
  </r>
  <r>
    <d v="2025-08-02T00:00:00"/>
    <s v="David Miller"/>
    <x v="2"/>
    <x v="9"/>
    <s v="Electronics"/>
    <n v="14"/>
    <n v="119.99"/>
    <n v="60"/>
    <n v="1679.86"/>
    <n v="840"/>
    <n v="839.8599999999999"/>
    <n v="0.49995832986082173"/>
    <x v="7"/>
  </r>
  <r>
    <d v="2025-08-03T00:00:00"/>
    <s v="David Miller"/>
    <x v="2"/>
    <x v="9"/>
    <s v="Electronics"/>
    <n v="1"/>
    <n v="119.99"/>
    <n v="60"/>
    <n v="119.99"/>
    <n v="60"/>
    <n v="59.989999999999995"/>
    <n v="0.49995832986082173"/>
    <x v="7"/>
  </r>
  <r>
    <d v="2025-08-03T00:00:00"/>
    <s v="Jessica Taylor"/>
    <x v="4"/>
    <x v="12"/>
    <s v="Electronics"/>
    <n v="33"/>
    <n v="89.99"/>
    <n v="45"/>
    <n v="2969.6699999999996"/>
    <n v="1485"/>
    <n v="1484.6699999999996"/>
    <n v="0.49994443827091894"/>
    <x v="7"/>
  </r>
  <r>
    <d v="2025-08-03T00:00:00"/>
    <s v="Emily Chen"/>
    <x v="1"/>
    <x v="13"/>
    <s v="Furniture"/>
    <n v="5"/>
    <n v="850"/>
    <n v="520"/>
    <n v="4250"/>
    <n v="2600"/>
    <n v="1650"/>
    <n v="0.38823529411764707"/>
    <x v="7"/>
  </r>
  <r>
    <d v="2025-08-04T00:00:00"/>
    <s v="David Miller"/>
    <x v="2"/>
    <x v="12"/>
    <s v="Electronics"/>
    <n v="48"/>
    <n v="89.99"/>
    <n v="45"/>
    <n v="4319.5199999999995"/>
    <n v="2160"/>
    <n v="2159.5199999999995"/>
    <n v="0.49994443827091894"/>
    <x v="7"/>
  </r>
  <r>
    <d v="2025-08-05T00:00:00"/>
    <s v="Robert Chen"/>
    <x v="3"/>
    <x v="10"/>
    <s v="Furniture"/>
    <n v="9"/>
    <n v="299.99"/>
    <n v="160"/>
    <n v="2699.91"/>
    <n v="1440"/>
    <n v="1259.9099999999999"/>
    <n v="0.46664888829627649"/>
    <x v="7"/>
  </r>
  <r>
    <d v="2025-08-06T00:00:00"/>
    <s v="Sarah Jenkins"/>
    <x v="3"/>
    <x v="2"/>
    <s v="Furniture"/>
    <n v="8"/>
    <n v="179.99"/>
    <n v="95"/>
    <n v="1439.92"/>
    <n v="760"/>
    <n v="679.92000000000007"/>
    <n v="0.47219289960553368"/>
    <x v="7"/>
  </r>
  <r>
    <d v="2025-08-06T00:00:00"/>
    <s v="James Wilson"/>
    <x v="1"/>
    <x v="11"/>
    <s v="Electronics"/>
    <n v="12"/>
    <n v="349.99"/>
    <n v="210"/>
    <n v="4199.88"/>
    <n v="2520"/>
    <n v="1679.88"/>
    <n v="0.39998285665304723"/>
    <x v="7"/>
  </r>
  <r>
    <d v="2025-08-06T00:00:00"/>
    <s v="Amanda Martinez"/>
    <x v="0"/>
    <x v="8"/>
    <s v="Office Supplies"/>
    <n v="14"/>
    <n v="89.99"/>
    <n v="42"/>
    <n v="1259.8599999999999"/>
    <n v="588"/>
    <n v="671.8599999999999"/>
    <n v="0.53328147571952433"/>
    <x v="7"/>
  </r>
  <r>
    <d v="2025-08-06T00:00:00"/>
    <s v="Emily Chen"/>
    <x v="1"/>
    <x v="8"/>
    <s v="Office Supplies"/>
    <n v="34"/>
    <n v="89.99"/>
    <n v="42"/>
    <n v="3059.66"/>
    <n v="1428"/>
    <n v="1631.6599999999999"/>
    <n v="0.53328147571952433"/>
    <x v="7"/>
  </r>
  <r>
    <d v="2025-08-08T00:00:00"/>
    <s v="Emily Chen"/>
    <x v="1"/>
    <x v="6"/>
    <s v="Office Supplies"/>
    <n v="29"/>
    <n v="79.989999999999995"/>
    <n v="40"/>
    <n v="2319.71"/>
    <n v="1160"/>
    <n v="1159.71"/>
    <n v="0.49993749218652334"/>
    <x v="7"/>
  </r>
  <r>
    <d v="2025-08-08T00:00:00"/>
    <s v="Emily Chen"/>
    <x v="1"/>
    <x v="5"/>
    <s v="Electronics"/>
    <n v="4"/>
    <n v="1250"/>
    <n v="850"/>
    <n v="5000"/>
    <n v="3400"/>
    <n v="1600"/>
    <n v="0.32"/>
    <x v="7"/>
  </r>
  <r>
    <d v="2025-08-08T00:00:00"/>
    <s v="Jessica Taylor"/>
    <x v="4"/>
    <x v="11"/>
    <s v="Electronics"/>
    <n v="5"/>
    <n v="349.99"/>
    <n v="210"/>
    <n v="1749.95"/>
    <n v="1050"/>
    <n v="699.95"/>
    <n v="0.39998285665304723"/>
    <x v="7"/>
  </r>
  <r>
    <d v="2025-08-10T00:00:00"/>
    <s v="David Miller"/>
    <x v="2"/>
    <x v="3"/>
    <s v="Office Supplies"/>
    <n v="5"/>
    <n v="24.99"/>
    <n v="10"/>
    <n v="124.94999999999999"/>
    <n v="50"/>
    <n v="74.949999999999989"/>
    <n v="0.59983993597438967"/>
    <x v="7"/>
  </r>
  <r>
    <d v="2025-08-10T00:00:00"/>
    <s v="Jessica Taylor"/>
    <x v="4"/>
    <x v="13"/>
    <s v="Furniture"/>
    <n v="1"/>
    <n v="850"/>
    <n v="520"/>
    <n v="850"/>
    <n v="520"/>
    <n v="330"/>
    <n v="0.38823529411764707"/>
    <x v="7"/>
  </r>
  <r>
    <d v="2025-08-11T00:00:00"/>
    <s v="David Miller"/>
    <x v="2"/>
    <x v="7"/>
    <s v="Lighting"/>
    <n v="7"/>
    <n v="49.99"/>
    <n v="22"/>
    <n v="349.93"/>
    <n v="154"/>
    <n v="195.93"/>
    <n v="0.55991198239647932"/>
    <x v="7"/>
  </r>
  <r>
    <d v="2025-08-11T00:00:00"/>
    <s v="Robert Chen"/>
    <x v="3"/>
    <x v="11"/>
    <s v="Electronics"/>
    <n v="13"/>
    <n v="349.99"/>
    <n v="210"/>
    <n v="4549.87"/>
    <n v="2730"/>
    <n v="1819.87"/>
    <n v="0.39998285665304723"/>
    <x v="7"/>
  </r>
  <r>
    <d v="2025-08-12T00:00:00"/>
    <s v="Jessica Taylor"/>
    <x v="4"/>
    <x v="6"/>
    <s v="Office Supplies"/>
    <n v="18"/>
    <n v="79.989999999999995"/>
    <n v="40"/>
    <n v="1439.82"/>
    <n v="720"/>
    <n v="719.81999999999994"/>
    <n v="0.49993749218652328"/>
    <x v="7"/>
  </r>
  <r>
    <d v="2025-08-13T00:00:00"/>
    <s v="Jessica Taylor"/>
    <x v="4"/>
    <x v="9"/>
    <s v="Electronics"/>
    <n v="8"/>
    <n v="119.99"/>
    <n v="60"/>
    <n v="959.92"/>
    <n v="480"/>
    <n v="479.91999999999996"/>
    <n v="0.49995832986082173"/>
    <x v="7"/>
  </r>
  <r>
    <d v="2025-08-13T00:00:00"/>
    <s v="James Wilson"/>
    <x v="1"/>
    <x v="0"/>
    <s v="Furniture"/>
    <n v="2"/>
    <n v="599.99"/>
    <n v="360"/>
    <n v="1199.98"/>
    <n v="720"/>
    <n v="479.98"/>
    <n v="0.39998999983333056"/>
    <x v="7"/>
  </r>
  <r>
    <d v="2025-08-13T00:00:00"/>
    <s v="Sarah Jenkins"/>
    <x v="3"/>
    <x v="5"/>
    <s v="Electronics"/>
    <n v="4"/>
    <n v="1250"/>
    <n v="850"/>
    <n v="5000"/>
    <n v="3400"/>
    <n v="1600"/>
    <n v="0.32"/>
    <x v="7"/>
  </r>
  <r>
    <d v="2025-08-14T00:00:00"/>
    <s v="Jessica Taylor"/>
    <x v="4"/>
    <x v="6"/>
    <s v="Office Supplies"/>
    <n v="22"/>
    <n v="79.989999999999995"/>
    <n v="40"/>
    <n v="1759.78"/>
    <n v="880"/>
    <n v="879.78"/>
    <n v="0.49993749218652328"/>
    <x v="7"/>
  </r>
  <r>
    <d v="2025-08-15T00:00:00"/>
    <s v="James Wilson"/>
    <x v="1"/>
    <x v="14"/>
    <s v="Electronics"/>
    <n v="14"/>
    <n v="149.99"/>
    <n v="75"/>
    <n v="2099.86"/>
    <n v="1050"/>
    <n v="1049.8600000000001"/>
    <n v="0.49996666444429633"/>
    <x v="7"/>
  </r>
  <r>
    <d v="2025-08-15T00:00:00"/>
    <s v="Michael Scott"/>
    <x v="0"/>
    <x v="7"/>
    <s v="Lighting"/>
    <n v="41"/>
    <n v="49.99"/>
    <n v="22"/>
    <n v="2049.59"/>
    <n v="902"/>
    <n v="1147.5900000000001"/>
    <n v="0.55991198239647932"/>
    <x v="7"/>
  </r>
  <r>
    <d v="2025-08-17T00:00:00"/>
    <s v="Sarah Jenkins"/>
    <x v="3"/>
    <x v="13"/>
    <s v="Furniture"/>
    <n v="1"/>
    <n v="850"/>
    <n v="520"/>
    <n v="850"/>
    <n v="520"/>
    <n v="330"/>
    <n v="0.38823529411764707"/>
    <x v="7"/>
  </r>
  <r>
    <d v="2025-08-18T00:00:00"/>
    <s v="Robert Chen"/>
    <x v="3"/>
    <x v="5"/>
    <s v="Electronics"/>
    <n v="1"/>
    <n v="1250"/>
    <n v="850"/>
    <n v="1250"/>
    <n v="850"/>
    <n v="400"/>
    <n v="0.32"/>
    <x v="7"/>
  </r>
  <r>
    <d v="2025-08-19T00:00:00"/>
    <s v="Jessica Taylor"/>
    <x v="4"/>
    <x v="3"/>
    <s v="Office Supplies"/>
    <n v="19"/>
    <n v="24.99"/>
    <n v="10"/>
    <n v="474.80999999999995"/>
    <n v="190"/>
    <n v="284.80999999999995"/>
    <n v="0.59983993597438967"/>
    <x v="7"/>
  </r>
  <r>
    <d v="2025-08-19T00:00:00"/>
    <s v="Amanda Martinez"/>
    <x v="0"/>
    <x v="11"/>
    <s v="Electronics"/>
    <n v="9"/>
    <n v="349.99"/>
    <n v="210"/>
    <n v="3149.91"/>
    <n v="1890"/>
    <n v="1259.9099999999999"/>
    <n v="0.39998285665304723"/>
    <x v="7"/>
  </r>
  <r>
    <d v="2025-08-19T00:00:00"/>
    <s v="Emily Chen"/>
    <x v="1"/>
    <x v="9"/>
    <s v="Electronics"/>
    <n v="1"/>
    <n v="119.99"/>
    <n v="60"/>
    <n v="119.99"/>
    <n v="60"/>
    <n v="59.989999999999995"/>
    <n v="0.49995832986082173"/>
    <x v="7"/>
  </r>
  <r>
    <d v="2025-08-19T00:00:00"/>
    <s v="Michael Scott"/>
    <x v="0"/>
    <x v="4"/>
    <s v="Electronics"/>
    <n v="28"/>
    <n v="29.99"/>
    <n v="12"/>
    <n v="839.71999999999991"/>
    <n v="336"/>
    <n v="503.71999999999991"/>
    <n v="0.59986662220740239"/>
    <x v="7"/>
  </r>
  <r>
    <d v="2025-08-21T00:00:00"/>
    <s v="Michael Scott"/>
    <x v="0"/>
    <x v="2"/>
    <s v="Furniture"/>
    <n v="4"/>
    <n v="179.99"/>
    <n v="95"/>
    <n v="719.96"/>
    <n v="380"/>
    <n v="339.96000000000004"/>
    <n v="0.47219289960553368"/>
    <x v="7"/>
  </r>
  <r>
    <d v="2025-08-21T00:00:00"/>
    <s v="Robert Chen"/>
    <x v="3"/>
    <x v="14"/>
    <s v="Electronics"/>
    <n v="12"/>
    <n v="149.99"/>
    <n v="75"/>
    <n v="1799.88"/>
    <n v="900"/>
    <n v="899.88000000000011"/>
    <n v="0.49996666444429633"/>
    <x v="7"/>
  </r>
  <r>
    <d v="2025-08-21T00:00:00"/>
    <s v="James Wilson"/>
    <x v="1"/>
    <x v="7"/>
    <s v="Lighting"/>
    <n v="41"/>
    <n v="49.99"/>
    <n v="22"/>
    <n v="2049.59"/>
    <n v="902"/>
    <n v="1147.5900000000001"/>
    <n v="0.55991198239647932"/>
    <x v="7"/>
  </r>
  <r>
    <d v="2025-08-21T00:00:00"/>
    <s v="Michael Scott"/>
    <x v="0"/>
    <x v="2"/>
    <s v="Furniture"/>
    <n v="13"/>
    <n v="179.99"/>
    <n v="95"/>
    <n v="2339.87"/>
    <n v="1235"/>
    <n v="1104.8699999999999"/>
    <n v="0.47219289960553362"/>
    <x v="7"/>
  </r>
  <r>
    <d v="2025-08-22T00:00:00"/>
    <s v="Sarah Jenkins"/>
    <x v="3"/>
    <x v="5"/>
    <s v="Electronics"/>
    <n v="5"/>
    <n v="1250"/>
    <n v="850"/>
    <n v="6250"/>
    <n v="4250"/>
    <n v="2000"/>
    <n v="0.32"/>
    <x v="7"/>
  </r>
  <r>
    <d v="2025-08-24T00:00:00"/>
    <s v="Jessica Taylor"/>
    <x v="4"/>
    <x v="9"/>
    <s v="Electronics"/>
    <n v="11"/>
    <n v="119.99"/>
    <n v="60"/>
    <n v="1319.8899999999999"/>
    <n v="660"/>
    <n v="659.88999999999987"/>
    <n v="0.49995832986082167"/>
    <x v="7"/>
  </r>
  <r>
    <d v="2025-08-25T00:00:00"/>
    <s v="Jessica Taylor"/>
    <x v="4"/>
    <x v="9"/>
    <s v="Electronics"/>
    <n v="12"/>
    <n v="119.99"/>
    <n v="60"/>
    <n v="1439.8799999999999"/>
    <n v="720"/>
    <n v="719.87999999999988"/>
    <n v="0.49995832986082167"/>
    <x v="7"/>
  </r>
  <r>
    <d v="2025-08-25T00:00:00"/>
    <s v="Amanda Martinez"/>
    <x v="0"/>
    <x v="6"/>
    <s v="Office Supplies"/>
    <n v="10"/>
    <n v="79.989999999999995"/>
    <n v="40"/>
    <n v="799.9"/>
    <n v="400"/>
    <n v="399.9"/>
    <n v="0.49993749218652328"/>
    <x v="7"/>
  </r>
  <r>
    <d v="2025-08-25T00:00:00"/>
    <s v="Robert Chen"/>
    <x v="3"/>
    <x v="8"/>
    <s v="Office Supplies"/>
    <n v="43"/>
    <n v="89.99"/>
    <n v="42"/>
    <n v="3869.5699999999997"/>
    <n v="1806"/>
    <n v="2063.5699999999997"/>
    <n v="0.53328147571952433"/>
    <x v="7"/>
  </r>
  <r>
    <d v="2025-08-26T00:00:00"/>
    <s v="Emily Chen"/>
    <x v="1"/>
    <x v="8"/>
    <s v="Office Supplies"/>
    <n v="28"/>
    <n v="89.99"/>
    <n v="42"/>
    <n v="2519.7199999999998"/>
    <n v="1176"/>
    <n v="1343.7199999999998"/>
    <n v="0.53328147571952433"/>
    <x v="7"/>
  </r>
  <r>
    <d v="2025-08-26T00:00:00"/>
    <s v="James Wilson"/>
    <x v="1"/>
    <x v="11"/>
    <s v="Electronics"/>
    <n v="11"/>
    <n v="349.99"/>
    <n v="210"/>
    <n v="3849.8900000000003"/>
    <n v="2310"/>
    <n v="1539.8900000000003"/>
    <n v="0.39998285665304728"/>
    <x v="7"/>
  </r>
  <r>
    <d v="2025-08-27T00:00:00"/>
    <s v="Emily Chen"/>
    <x v="1"/>
    <x v="6"/>
    <s v="Office Supplies"/>
    <n v="17"/>
    <n v="79.989999999999995"/>
    <n v="40"/>
    <n v="1359.83"/>
    <n v="680"/>
    <n v="679.82999999999993"/>
    <n v="0.49993749218652328"/>
    <x v="7"/>
  </r>
  <r>
    <d v="2025-08-28T00:00:00"/>
    <s v="Michael Scott"/>
    <x v="0"/>
    <x v="10"/>
    <s v="Furniture"/>
    <n v="2"/>
    <n v="299.99"/>
    <n v="160"/>
    <n v="599.98"/>
    <n v="320"/>
    <n v="279.98"/>
    <n v="0.46664888829627654"/>
    <x v="7"/>
  </r>
  <r>
    <d v="2025-08-29T00:00:00"/>
    <s v="Robert Chen"/>
    <x v="3"/>
    <x v="11"/>
    <s v="Electronics"/>
    <n v="9"/>
    <n v="349.99"/>
    <n v="210"/>
    <n v="3149.91"/>
    <n v="1890"/>
    <n v="1259.9099999999999"/>
    <n v="0.39998285665304723"/>
    <x v="7"/>
  </r>
  <r>
    <d v="2025-08-30T00:00:00"/>
    <s v="Amanda Martinez"/>
    <x v="0"/>
    <x v="10"/>
    <s v="Furniture"/>
    <n v="7"/>
    <n v="299.99"/>
    <n v="160"/>
    <n v="2099.9300000000003"/>
    <n v="1120"/>
    <n v="979.93000000000029"/>
    <n v="0.4666488882962766"/>
    <x v="7"/>
  </r>
  <r>
    <d v="2025-08-31T00:00:00"/>
    <s v="Emily Chen"/>
    <x v="1"/>
    <x v="8"/>
    <s v="Office Supplies"/>
    <n v="8"/>
    <n v="89.99"/>
    <n v="42"/>
    <n v="719.92"/>
    <n v="336"/>
    <n v="383.91999999999996"/>
    <n v="0.53328147571952433"/>
    <x v="7"/>
  </r>
  <r>
    <d v="2025-09-01T00:00:00"/>
    <s v="Sarah Jenkins"/>
    <x v="3"/>
    <x v="6"/>
    <s v="Office Supplies"/>
    <n v="12"/>
    <n v="79.989999999999995"/>
    <n v="40"/>
    <n v="959.87999999999988"/>
    <n v="480"/>
    <n v="479.87999999999988"/>
    <n v="0.49993749218652328"/>
    <x v="8"/>
  </r>
  <r>
    <d v="2025-09-03T00:00:00"/>
    <s v="Jessica Taylor"/>
    <x v="4"/>
    <x v="10"/>
    <s v="Furniture"/>
    <n v="4"/>
    <n v="299.99"/>
    <n v="160"/>
    <n v="1199.96"/>
    <n v="640"/>
    <n v="559.96"/>
    <n v="0.46664888829627654"/>
    <x v="8"/>
  </r>
  <r>
    <d v="2025-09-03T00:00:00"/>
    <s v="Michael Scott"/>
    <x v="0"/>
    <x v="14"/>
    <s v="Electronics"/>
    <n v="13"/>
    <n v="149.99"/>
    <n v="75"/>
    <n v="1949.8700000000001"/>
    <n v="975"/>
    <n v="974.87000000000012"/>
    <n v="0.49996666444429633"/>
    <x v="8"/>
  </r>
  <r>
    <d v="2025-09-04T00:00:00"/>
    <s v="Amanda Martinez"/>
    <x v="0"/>
    <x v="6"/>
    <s v="Office Supplies"/>
    <n v="49"/>
    <n v="79.989999999999995"/>
    <n v="40"/>
    <n v="3919.5099999999998"/>
    <n v="1960"/>
    <n v="1959.5099999999998"/>
    <n v="0.49993749218652328"/>
    <x v="8"/>
  </r>
  <r>
    <d v="2025-09-04T00:00:00"/>
    <s v="Emily Chen"/>
    <x v="1"/>
    <x v="8"/>
    <s v="Office Supplies"/>
    <n v="14"/>
    <n v="89.99"/>
    <n v="42"/>
    <n v="1259.8599999999999"/>
    <n v="588"/>
    <n v="671.8599999999999"/>
    <n v="0.53328147571952433"/>
    <x v="8"/>
  </r>
  <r>
    <d v="2025-09-04T00:00:00"/>
    <s v="James Wilson"/>
    <x v="1"/>
    <x v="11"/>
    <s v="Electronics"/>
    <n v="11"/>
    <n v="349.99"/>
    <n v="210"/>
    <n v="3849.8900000000003"/>
    <n v="2310"/>
    <n v="1539.8900000000003"/>
    <n v="0.39998285665304728"/>
    <x v="8"/>
  </r>
  <r>
    <d v="2025-09-07T00:00:00"/>
    <s v="Sarah Jenkins"/>
    <x v="3"/>
    <x v="1"/>
    <s v="Lighting"/>
    <n v="38"/>
    <n v="34.99"/>
    <n v="14"/>
    <n v="1329.6200000000001"/>
    <n v="532"/>
    <n v="797.62000000000012"/>
    <n v="0.59988568162332101"/>
    <x v="8"/>
  </r>
  <r>
    <d v="2025-09-07T00:00:00"/>
    <s v="Sarah Jenkins"/>
    <x v="3"/>
    <x v="6"/>
    <s v="Office Supplies"/>
    <n v="30"/>
    <n v="79.989999999999995"/>
    <n v="40"/>
    <n v="2399.6999999999998"/>
    <n v="1200"/>
    <n v="1199.6999999999998"/>
    <n v="0.49993749218652328"/>
    <x v="8"/>
  </r>
  <r>
    <d v="2025-09-09T00:00:00"/>
    <s v="Emily Chen"/>
    <x v="1"/>
    <x v="4"/>
    <s v="Electronics"/>
    <n v="45"/>
    <n v="29.99"/>
    <n v="12"/>
    <n v="1349.55"/>
    <n v="540"/>
    <n v="809.55"/>
    <n v="0.5998666222074025"/>
    <x v="8"/>
  </r>
  <r>
    <d v="2025-09-09T00:00:00"/>
    <s v="Jessica Taylor"/>
    <x v="4"/>
    <x v="7"/>
    <s v="Lighting"/>
    <n v="7"/>
    <n v="49.99"/>
    <n v="22"/>
    <n v="349.93"/>
    <n v="154"/>
    <n v="195.93"/>
    <n v="0.55991198239647932"/>
    <x v="8"/>
  </r>
  <r>
    <d v="2025-09-09T00:00:00"/>
    <s v="Emily Chen"/>
    <x v="1"/>
    <x v="8"/>
    <s v="Office Supplies"/>
    <n v="10"/>
    <n v="89.99"/>
    <n v="42"/>
    <n v="899.9"/>
    <n v="420"/>
    <n v="479.9"/>
    <n v="0.53328147571952433"/>
    <x v="8"/>
  </r>
  <r>
    <d v="2025-09-09T00:00:00"/>
    <s v="Michael Scott"/>
    <x v="0"/>
    <x v="12"/>
    <s v="Electronics"/>
    <n v="9"/>
    <n v="89.99"/>
    <n v="45"/>
    <n v="809.91"/>
    <n v="405"/>
    <n v="404.90999999999997"/>
    <n v="0.49994443827091894"/>
    <x v="8"/>
  </r>
  <r>
    <d v="2025-09-10T00:00:00"/>
    <s v="Emily Chen"/>
    <x v="1"/>
    <x v="12"/>
    <s v="Electronics"/>
    <n v="9"/>
    <n v="89.99"/>
    <n v="45"/>
    <n v="809.91"/>
    <n v="405"/>
    <n v="404.90999999999997"/>
    <n v="0.49994443827091894"/>
    <x v="8"/>
  </r>
  <r>
    <d v="2025-09-10T00:00:00"/>
    <s v="Sarah Jenkins"/>
    <x v="3"/>
    <x v="11"/>
    <s v="Electronics"/>
    <n v="6"/>
    <n v="349.99"/>
    <n v="210"/>
    <n v="2099.94"/>
    <n v="1260"/>
    <n v="839.94"/>
    <n v="0.39998285665304723"/>
    <x v="8"/>
  </r>
  <r>
    <d v="2025-09-11T00:00:00"/>
    <s v="Amanda Martinez"/>
    <x v="0"/>
    <x v="11"/>
    <s v="Electronics"/>
    <n v="7"/>
    <n v="349.99"/>
    <n v="210"/>
    <n v="2449.9300000000003"/>
    <n v="1470"/>
    <n v="979.93000000000029"/>
    <n v="0.39998285665304728"/>
    <x v="8"/>
  </r>
  <r>
    <d v="2025-09-11T00:00:00"/>
    <s v="Emily Chen"/>
    <x v="1"/>
    <x v="2"/>
    <s v="Furniture"/>
    <n v="1"/>
    <n v="179.99"/>
    <n v="95"/>
    <n v="179.99"/>
    <n v="95"/>
    <n v="84.990000000000009"/>
    <n v="0.47219289960553368"/>
    <x v="8"/>
  </r>
  <r>
    <d v="2025-09-11T00:00:00"/>
    <s v="Jessica Taylor"/>
    <x v="4"/>
    <x v="7"/>
    <s v="Lighting"/>
    <n v="13"/>
    <n v="49.99"/>
    <n v="22"/>
    <n v="649.87"/>
    <n v="286"/>
    <n v="363.87"/>
    <n v="0.55991198239647932"/>
    <x v="8"/>
  </r>
  <r>
    <d v="2025-09-12T00:00:00"/>
    <s v="Robert Chen"/>
    <x v="3"/>
    <x v="7"/>
    <s v="Lighting"/>
    <n v="39"/>
    <n v="49.99"/>
    <n v="22"/>
    <n v="1949.6100000000001"/>
    <n v="858"/>
    <n v="1091.6100000000001"/>
    <n v="0.55991198239647932"/>
    <x v="8"/>
  </r>
  <r>
    <d v="2025-09-12T00:00:00"/>
    <s v="Amanda Martinez"/>
    <x v="0"/>
    <x v="14"/>
    <s v="Electronics"/>
    <n v="4"/>
    <n v="149.99"/>
    <n v="75"/>
    <n v="599.96"/>
    <n v="300"/>
    <n v="299.96000000000004"/>
    <n v="0.49996666444429633"/>
    <x v="8"/>
  </r>
  <r>
    <d v="2025-09-13T00:00:00"/>
    <s v="James Wilson"/>
    <x v="1"/>
    <x v="11"/>
    <s v="Electronics"/>
    <n v="10"/>
    <n v="349.99"/>
    <n v="210"/>
    <n v="3499.9"/>
    <n v="2100"/>
    <n v="1399.9"/>
    <n v="0.39998285665304723"/>
    <x v="8"/>
  </r>
  <r>
    <d v="2025-09-14T00:00:00"/>
    <s v="David Miller"/>
    <x v="2"/>
    <x v="7"/>
    <s v="Lighting"/>
    <n v="46"/>
    <n v="49.99"/>
    <n v="22"/>
    <n v="2299.54"/>
    <n v="1012"/>
    <n v="1287.54"/>
    <n v="0.55991198239647932"/>
    <x v="8"/>
  </r>
  <r>
    <d v="2025-09-14T00:00:00"/>
    <s v="Emily Chen"/>
    <x v="1"/>
    <x v="3"/>
    <s v="Office Supplies"/>
    <n v="39"/>
    <n v="24.99"/>
    <n v="10"/>
    <n v="974.6099999999999"/>
    <n v="390"/>
    <n v="584.6099999999999"/>
    <n v="0.59983993597438967"/>
    <x v="8"/>
  </r>
  <r>
    <d v="2025-09-15T00:00:00"/>
    <s v="Jessica Taylor"/>
    <x v="4"/>
    <x v="2"/>
    <s v="Furniture"/>
    <n v="2"/>
    <n v="179.99"/>
    <n v="95"/>
    <n v="359.98"/>
    <n v="190"/>
    <n v="169.98000000000002"/>
    <n v="0.47219289960553368"/>
    <x v="8"/>
  </r>
  <r>
    <d v="2025-09-16T00:00:00"/>
    <s v="Amanda Martinez"/>
    <x v="0"/>
    <x v="10"/>
    <s v="Furniture"/>
    <n v="2"/>
    <n v="299.99"/>
    <n v="160"/>
    <n v="599.98"/>
    <n v="320"/>
    <n v="279.98"/>
    <n v="0.46664888829627654"/>
    <x v="8"/>
  </r>
  <r>
    <d v="2025-09-16T00:00:00"/>
    <s v="Jessica Taylor"/>
    <x v="4"/>
    <x v="9"/>
    <s v="Electronics"/>
    <n v="14"/>
    <n v="119.99"/>
    <n v="60"/>
    <n v="1679.86"/>
    <n v="840"/>
    <n v="839.8599999999999"/>
    <n v="0.49995832986082173"/>
    <x v="8"/>
  </r>
  <r>
    <d v="2025-09-17T00:00:00"/>
    <s v="James Wilson"/>
    <x v="1"/>
    <x v="9"/>
    <s v="Electronics"/>
    <n v="1"/>
    <n v="119.99"/>
    <n v="60"/>
    <n v="119.99"/>
    <n v="60"/>
    <n v="59.989999999999995"/>
    <n v="0.49995832986082173"/>
    <x v="8"/>
  </r>
  <r>
    <d v="2025-09-18T00:00:00"/>
    <s v="Sarah Jenkins"/>
    <x v="3"/>
    <x v="10"/>
    <s v="Furniture"/>
    <n v="8"/>
    <n v="299.99"/>
    <n v="160"/>
    <n v="2399.92"/>
    <n v="1280"/>
    <n v="1119.92"/>
    <n v="0.46664888829627654"/>
    <x v="8"/>
  </r>
  <r>
    <d v="2025-09-19T00:00:00"/>
    <s v="Jessica Taylor"/>
    <x v="4"/>
    <x v="13"/>
    <s v="Furniture"/>
    <n v="3"/>
    <n v="850"/>
    <n v="520"/>
    <n v="2550"/>
    <n v="1560"/>
    <n v="990"/>
    <n v="0.38823529411764707"/>
    <x v="8"/>
  </r>
  <r>
    <d v="2025-09-20T00:00:00"/>
    <s v="Amanda Martinez"/>
    <x v="0"/>
    <x v="8"/>
    <s v="Office Supplies"/>
    <n v="36"/>
    <n v="89.99"/>
    <n v="42"/>
    <n v="3239.64"/>
    <n v="1512"/>
    <n v="1727.6399999999999"/>
    <n v="0.53328147571952433"/>
    <x v="8"/>
  </r>
  <r>
    <d v="2025-09-21T00:00:00"/>
    <s v="Jessica Taylor"/>
    <x v="4"/>
    <x v="2"/>
    <s v="Furniture"/>
    <n v="3"/>
    <n v="179.99"/>
    <n v="95"/>
    <n v="539.97"/>
    <n v="285"/>
    <n v="254.97000000000003"/>
    <n v="0.47219289960553368"/>
    <x v="8"/>
  </r>
  <r>
    <d v="2025-09-21T00:00:00"/>
    <s v="Jessica Taylor"/>
    <x v="4"/>
    <x v="3"/>
    <s v="Office Supplies"/>
    <n v="42"/>
    <n v="24.99"/>
    <n v="10"/>
    <n v="1049.58"/>
    <n v="420"/>
    <n v="629.57999999999993"/>
    <n v="0.59983993597438978"/>
    <x v="8"/>
  </r>
  <r>
    <d v="2025-09-21T00:00:00"/>
    <s v="Jessica Taylor"/>
    <x v="4"/>
    <x v="7"/>
    <s v="Lighting"/>
    <n v="17"/>
    <n v="49.99"/>
    <n v="22"/>
    <n v="849.83"/>
    <n v="374"/>
    <n v="475.83000000000004"/>
    <n v="0.55991198239647932"/>
    <x v="8"/>
  </r>
  <r>
    <d v="2025-09-21T00:00:00"/>
    <s v="Michael Scott"/>
    <x v="0"/>
    <x v="1"/>
    <s v="Lighting"/>
    <n v="29"/>
    <n v="34.99"/>
    <n v="14"/>
    <n v="1014.71"/>
    <n v="406"/>
    <n v="608.71"/>
    <n v="0.59988568162332101"/>
    <x v="8"/>
  </r>
  <r>
    <d v="2025-09-22T00:00:00"/>
    <s v="Michael Scott"/>
    <x v="0"/>
    <x v="2"/>
    <s v="Furniture"/>
    <n v="9"/>
    <n v="179.99"/>
    <n v="95"/>
    <n v="1619.91"/>
    <n v="855"/>
    <n v="764.91000000000008"/>
    <n v="0.47219289960553368"/>
    <x v="8"/>
  </r>
  <r>
    <d v="2025-09-24T00:00:00"/>
    <s v="Sarah Jenkins"/>
    <x v="3"/>
    <x v="6"/>
    <s v="Office Supplies"/>
    <n v="8"/>
    <n v="79.989999999999995"/>
    <n v="40"/>
    <n v="639.91999999999996"/>
    <n v="320"/>
    <n v="319.91999999999996"/>
    <n v="0.49993749218652328"/>
    <x v="8"/>
  </r>
  <r>
    <d v="2025-09-25T00:00:00"/>
    <s v="Emily Chen"/>
    <x v="1"/>
    <x v="10"/>
    <s v="Furniture"/>
    <n v="14"/>
    <n v="299.99"/>
    <n v="160"/>
    <n v="4199.8600000000006"/>
    <n v="2240"/>
    <n v="1959.8600000000006"/>
    <n v="0.4666488882962766"/>
    <x v="8"/>
  </r>
  <r>
    <d v="2025-09-25T00:00:00"/>
    <s v="Jessica Taylor"/>
    <x v="4"/>
    <x v="3"/>
    <s v="Office Supplies"/>
    <n v="41"/>
    <n v="24.99"/>
    <n v="10"/>
    <n v="1024.5899999999999"/>
    <n v="410"/>
    <n v="614.58999999999992"/>
    <n v="0.59983993597438967"/>
    <x v="8"/>
  </r>
  <r>
    <d v="2025-09-26T00:00:00"/>
    <s v="James Wilson"/>
    <x v="1"/>
    <x v="4"/>
    <s v="Electronics"/>
    <n v="38"/>
    <n v="29.99"/>
    <n v="12"/>
    <n v="1139.6199999999999"/>
    <n v="456"/>
    <n v="683.61999999999989"/>
    <n v="0.59986662220740239"/>
    <x v="8"/>
  </r>
  <r>
    <d v="2025-09-27T00:00:00"/>
    <s v="Emily Chen"/>
    <x v="1"/>
    <x v="0"/>
    <s v="Furniture"/>
    <n v="3"/>
    <n v="599.99"/>
    <n v="360"/>
    <n v="1799.97"/>
    <n v="1080"/>
    <n v="719.97"/>
    <n v="0.39998999983333056"/>
    <x v="8"/>
  </r>
  <r>
    <d v="2025-09-28T00:00:00"/>
    <s v="James Wilson"/>
    <x v="1"/>
    <x v="5"/>
    <s v="Electronics"/>
    <n v="1"/>
    <n v="1250"/>
    <n v="850"/>
    <n v="1250"/>
    <n v="850"/>
    <n v="400"/>
    <n v="0.32"/>
    <x v="8"/>
  </r>
  <r>
    <d v="2025-09-28T00:00:00"/>
    <s v="Emily Chen"/>
    <x v="1"/>
    <x v="8"/>
    <s v="Office Supplies"/>
    <n v="7"/>
    <n v="89.99"/>
    <n v="42"/>
    <n v="629.92999999999995"/>
    <n v="294"/>
    <n v="335.92999999999995"/>
    <n v="0.53328147571952433"/>
    <x v="8"/>
  </r>
  <r>
    <d v="2025-09-28T00:00:00"/>
    <s v="Sarah Jenkins"/>
    <x v="3"/>
    <x v="10"/>
    <s v="Furniture"/>
    <n v="11"/>
    <n v="299.99"/>
    <n v="160"/>
    <n v="3299.8900000000003"/>
    <n v="1760"/>
    <n v="1539.8900000000003"/>
    <n v="0.4666488882962766"/>
    <x v="8"/>
  </r>
  <r>
    <d v="2025-09-28T00:00:00"/>
    <s v="Jessica Taylor"/>
    <x v="4"/>
    <x v="1"/>
    <s v="Lighting"/>
    <n v="32"/>
    <n v="34.99"/>
    <n v="14"/>
    <n v="1119.68"/>
    <n v="448"/>
    <n v="671.68000000000006"/>
    <n v="0.59988568162332101"/>
    <x v="8"/>
  </r>
  <r>
    <d v="2025-09-29T00:00:00"/>
    <s v="Jessica Taylor"/>
    <x v="4"/>
    <x v="7"/>
    <s v="Lighting"/>
    <n v="33"/>
    <n v="49.99"/>
    <n v="22"/>
    <n v="1649.67"/>
    <n v="726"/>
    <n v="923.67000000000007"/>
    <n v="0.55991198239647932"/>
    <x v="8"/>
  </r>
  <r>
    <d v="2025-09-30T00:00:00"/>
    <s v="David Miller"/>
    <x v="2"/>
    <x v="1"/>
    <s v="Lighting"/>
    <n v="13"/>
    <n v="34.99"/>
    <n v="14"/>
    <n v="454.87"/>
    <n v="182"/>
    <n v="272.87"/>
    <n v="0.5998856816233209"/>
    <x v="8"/>
  </r>
  <r>
    <d v="2025-10-01T00:00:00"/>
    <s v="James Wilson"/>
    <x v="1"/>
    <x v="1"/>
    <s v="Lighting"/>
    <n v="7"/>
    <n v="34.99"/>
    <n v="14"/>
    <n v="244.93"/>
    <n v="98"/>
    <n v="146.93"/>
    <n v="0.59988568162332101"/>
    <x v="9"/>
  </r>
  <r>
    <d v="2025-10-02T00:00:00"/>
    <s v="Emily Chen"/>
    <x v="1"/>
    <x v="11"/>
    <s v="Electronics"/>
    <n v="9"/>
    <n v="349.99"/>
    <n v="210"/>
    <n v="3149.91"/>
    <n v="1890"/>
    <n v="1259.9099999999999"/>
    <n v="0.39998285665304723"/>
    <x v="9"/>
  </r>
  <r>
    <d v="2025-10-04T00:00:00"/>
    <s v="Emily Chen"/>
    <x v="1"/>
    <x v="11"/>
    <s v="Electronics"/>
    <n v="2"/>
    <n v="349.99"/>
    <n v="210"/>
    <n v="699.98"/>
    <n v="420"/>
    <n v="279.98"/>
    <n v="0.39998285665304723"/>
    <x v="9"/>
  </r>
  <r>
    <d v="2025-10-04T00:00:00"/>
    <s v="Robert Chen"/>
    <x v="3"/>
    <x v="14"/>
    <s v="Electronics"/>
    <n v="12"/>
    <n v="149.99"/>
    <n v="75"/>
    <n v="1799.88"/>
    <n v="900"/>
    <n v="899.88000000000011"/>
    <n v="0.49996666444429633"/>
    <x v="9"/>
  </r>
  <r>
    <d v="2025-10-04T00:00:00"/>
    <s v="Robert Chen"/>
    <x v="3"/>
    <x v="10"/>
    <s v="Furniture"/>
    <n v="10"/>
    <n v="299.99"/>
    <n v="160"/>
    <n v="2999.9"/>
    <n v="1600"/>
    <n v="1399.9"/>
    <n v="0.46664888829627654"/>
    <x v="9"/>
  </r>
  <r>
    <d v="2025-10-05T00:00:00"/>
    <s v="Michael Scott"/>
    <x v="0"/>
    <x v="14"/>
    <s v="Electronics"/>
    <n v="9"/>
    <n v="149.99"/>
    <n v="75"/>
    <n v="1349.91"/>
    <n v="675"/>
    <n v="674.91000000000008"/>
    <n v="0.49996666444429633"/>
    <x v="9"/>
  </r>
  <r>
    <d v="2025-10-06T00:00:00"/>
    <s v="David Miller"/>
    <x v="2"/>
    <x v="10"/>
    <s v="Furniture"/>
    <n v="8"/>
    <n v="299.99"/>
    <n v="160"/>
    <n v="2399.92"/>
    <n v="1280"/>
    <n v="1119.92"/>
    <n v="0.46664888829627654"/>
    <x v="9"/>
  </r>
  <r>
    <d v="2025-10-07T00:00:00"/>
    <s v="Amanda Martinez"/>
    <x v="0"/>
    <x v="8"/>
    <s v="Office Supplies"/>
    <n v="29"/>
    <n v="89.99"/>
    <n v="42"/>
    <n v="2609.71"/>
    <n v="1218"/>
    <n v="1391.71"/>
    <n v="0.53328147571952444"/>
    <x v="9"/>
  </r>
  <r>
    <d v="2025-10-07T00:00:00"/>
    <s v="Robert Chen"/>
    <x v="3"/>
    <x v="2"/>
    <s v="Furniture"/>
    <n v="5"/>
    <n v="179.99"/>
    <n v="95"/>
    <n v="899.95"/>
    <n v="475"/>
    <n v="424.95000000000005"/>
    <n v="0.47219289960553368"/>
    <x v="9"/>
  </r>
  <r>
    <d v="2025-10-07T00:00:00"/>
    <s v="Amanda Martinez"/>
    <x v="0"/>
    <x v="5"/>
    <s v="Electronics"/>
    <n v="3"/>
    <n v="1250"/>
    <n v="850"/>
    <n v="3750"/>
    <n v="2550"/>
    <n v="1200"/>
    <n v="0.32"/>
    <x v="9"/>
  </r>
  <r>
    <d v="2025-10-07T00:00:00"/>
    <s v="Michael Scott"/>
    <x v="0"/>
    <x v="1"/>
    <s v="Lighting"/>
    <n v="38"/>
    <n v="34.99"/>
    <n v="14"/>
    <n v="1329.6200000000001"/>
    <n v="532"/>
    <n v="797.62000000000012"/>
    <n v="0.59988568162332101"/>
    <x v="9"/>
  </r>
  <r>
    <d v="2025-10-07T00:00:00"/>
    <s v="Michael Scott"/>
    <x v="0"/>
    <x v="8"/>
    <s v="Office Supplies"/>
    <n v="28"/>
    <n v="89.99"/>
    <n v="42"/>
    <n v="2519.7199999999998"/>
    <n v="1176"/>
    <n v="1343.7199999999998"/>
    <n v="0.53328147571952433"/>
    <x v="9"/>
  </r>
  <r>
    <d v="2025-10-08T00:00:00"/>
    <s v="Michael Scott"/>
    <x v="0"/>
    <x v="2"/>
    <s v="Furniture"/>
    <n v="12"/>
    <n v="179.99"/>
    <n v="95"/>
    <n v="2159.88"/>
    <n v="1140"/>
    <n v="1019.8800000000001"/>
    <n v="0.47219289960553368"/>
    <x v="9"/>
  </r>
  <r>
    <d v="2025-10-10T00:00:00"/>
    <s v="James Wilson"/>
    <x v="1"/>
    <x v="0"/>
    <s v="Furniture"/>
    <n v="3"/>
    <n v="599.99"/>
    <n v="360"/>
    <n v="1799.97"/>
    <n v="1080"/>
    <n v="719.97"/>
    <n v="0.39998999983333056"/>
    <x v="9"/>
  </r>
  <r>
    <d v="2025-10-10T00:00:00"/>
    <s v="James Wilson"/>
    <x v="1"/>
    <x v="9"/>
    <s v="Electronics"/>
    <n v="5"/>
    <n v="119.99"/>
    <n v="60"/>
    <n v="599.94999999999993"/>
    <n v="300"/>
    <n v="299.94999999999993"/>
    <n v="0.49995832986082167"/>
    <x v="9"/>
  </r>
  <r>
    <d v="2025-10-10T00:00:00"/>
    <s v="Sarah Jenkins"/>
    <x v="3"/>
    <x v="12"/>
    <s v="Electronics"/>
    <n v="30"/>
    <n v="89.99"/>
    <n v="45"/>
    <n v="2699.7"/>
    <n v="1350"/>
    <n v="1349.6999999999998"/>
    <n v="0.49994443827091894"/>
    <x v="9"/>
  </r>
  <r>
    <d v="2025-10-11T00:00:00"/>
    <s v="Sarah Jenkins"/>
    <x v="3"/>
    <x v="6"/>
    <s v="Office Supplies"/>
    <n v="22"/>
    <n v="79.989999999999995"/>
    <n v="40"/>
    <n v="1759.78"/>
    <n v="880"/>
    <n v="879.78"/>
    <n v="0.49993749218652328"/>
    <x v="9"/>
  </r>
  <r>
    <d v="2025-10-11T00:00:00"/>
    <s v="Michael Scott"/>
    <x v="0"/>
    <x v="3"/>
    <s v="Office Supplies"/>
    <n v="10"/>
    <n v="24.99"/>
    <n v="10"/>
    <n v="249.89999999999998"/>
    <n v="100"/>
    <n v="149.89999999999998"/>
    <n v="0.59983993597438967"/>
    <x v="9"/>
  </r>
  <r>
    <d v="2025-10-11T00:00:00"/>
    <s v="David Miller"/>
    <x v="2"/>
    <x v="10"/>
    <s v="Furniture"/>
    <n v="5"/>
    <n v="299.99"/>
    <n v="160"/>
    <n v="1499.95"/>
    <n v="800"/>
    <n v="699.95"/>
    <n v="0.46664888829627654"/>
    <x v="9"/>
  </r>
  <r>
    <d v="2025-10-12T00:00:00"/>
    <s v="Emily Chen"/>
    <x v="1"/>
    <x v="0"/>
    <s v="Furniture"/>
    <n v="4"/>
    <n v="599.99"/>
    <n v="360"/>
    <n v="2399.96"/>
    <n v="1440"/>
    <n v="959.96"/>
    <n v="0.39998999983333056"/>
    <x v="9"/>
  </r>
  <r>
    <d v="2025-10-13T00:00:00"/>
    <s v="James Wilson"/>
    <x v="1"/>
    <x v="9"/>
    <s v="Electronics"/>
    <n v="13"/>
    <n v="119.99"/>
    <n v="60"/>
    <n v="1559.87"/>
    <n v="780"/>
    <n v="779.86999999999989"/>
    <n v="0.49995832986082173"/>
    <x v="9"/>
  </r>
  <r>
    <d v="2025-10-13T00:00:00"/>
    <s v="David Miller"/>
    <x v="2"/>
    <x v="7"/>
    <s v="Lighting"/>
    <n v="32"/>
    <n v="49.99"/>
    <n v="22"/>
    <n v="1599.68"/>
    <n v="704"/>
    <n v="895.68000000000006"/>
    <n v="0.55991198239647932"/>
    <x v="9"/>
  </r>
  <r>
    <d v="2025-10-15T00:00:00"/>
    <s v="Jessica Taylor"/>
    <x v="4"/>
    <x v="13"/>
    <s v="Furniture"/>
    <n v="5"/>
    <n v="850"/>
    <n v="520"/>
    <n v="4250"/>
    <n v="2600"/>
    <n v="1650"/>
    <n v="0.38823529411764707"/>
    <x v="9"/>
  </r>
  <r>
    <d v="2025-10-15T00:00:00"/>
    <s v="James Wilson"/>
    <x v="1"/>
    <x v="5"/>
    <s v="Electronics"/>
    <n v="5"/>
    <n v="1250"/>
    <n v="850"/>
    <n v="6250"/>
    <n v="4250"/>
    <n v="2000"/>
    <n v="0.32"/>
    <x v="9"/>
  </r>
  <r>
    <d v="2025-10-16T00:00:00"/>
    <s v="James Wilson"/>
    <x v="1"/>
    <x v="3"/>
    <s v="Office Supplies"/>
    <n v="21"/>
    <n v="24.99"/>
    <n v="10"/>
    <n v="524.79"/>
    <n v="210"/>
    <n v="314.78999999999996"/>
    <n v="0.59983993597438978"/>
    <x v="9"/>
  </r>
  <r>
    <d v="2025-10-16T00:00:00"/>
    <s v="Sarah Jenkins"/>
    <x v="3"/>
    <x v="14"/>
    <s v="Electronics"/>
    <n v="2"/>
    <n v="149.99"/>
    <n v="75"/>
    <n v="299.98"/>
    <n v="150"/>
    <n v="149.98000000000002"/>
    <n v="0.49996666444429633"/>
    <x v="9"/>
  </r>
  <r>
    <d v="2025-10-16T00:00:00"/>
    <s v="Emily Chen"/>
    <x v="1"/>
    <x v="14"/>
    <s v="Electronics"/>
    <n v="8"/>
    <n v="149.99"/>
    <n v="75"/>
    <n v="1199.92"/>
    <n v="600"/>
    <n v="599.92000000000007"/>
    <n v="0.49996666444429633"/>
    <x v="9"/>
  </r>
  <r>
    <d v="2025-10-17T00:00:00"/>
    <s v="Emily Chen"/>
    <x v="1"/>
    <x v="2"/>
    <s v="Furniture"/>
    <n v="13"/>
    <n v="179.99"/>
    <n v="95"/>
    <n v="2339.87"/>
    <n v="1235"/>
    <n v="1104.8699999999999"/>
    <n v="0.47219289960553362"/>
    <x v="9"/>
  </r>
  <r>
    <d v="2025-10-17T00:00:00"/>
    <s v="Robert Chen"/>
    <x v="3"/>
    <x v="3"/>
    <s v="Office Supplies"/>
    <n v="36"/>
    <n v="24.99"/>
    <n v="10"/>
    <n v="899.64"/>
    <n v="360"/>
    <n v="539.64"/>
    <n v="0.59983993597438978"/>
    <x v="9"/>
  </r>
  <r>
    <d v="2025-10-20T00:00:00"/>
    <s v="Amanda Martinez"/>
    <x v="0"/>
    <x v="11"/>
    <s v="Electronics"/>
    <n v="14"/>
    <n v="349.99"/>
    <n v="210"/>
    <n v="4899.8600000000006"/>
    <n v="2940"/>
    <n v="1959.8600000000006"/>
    <n v="0.39998285665304728"/>
    <x v="9"/>
  </r>
  <r>
    <d v="2025-10-21T00:00:00"/>
    <s v="Amanda Martinez"/>
    <x v="0"/>
    <x v="9"/>
    <s v="Electronics"/>
    <n v="13"/>
    <n v="119.99"/>
    <n v="60"/>
    <n v="1559.87"/>
    <n v="780"/>
    <n v="779.86999999999989"/>
    <n v="0.49995832986082173"/>
    <x v="9"/>
  </r>
  <r>
    <d v="2025-10-21T00:00:00"/>
    <s v="Amanda Martinez"/>
    <x v="0"/>
    <x v="13"/>
    <s v="Furniture"/>
    <n v="3"/>
    <n v="850"/>
    <n v="520"/>
    <n v="2550"/>
    <n v="1560"/>
    <n v="990"/>
    <n v="0.38823529411764707"/>
    <x v="9"/>
  </r>
  <r>
    <d v="2025-10-22T00:00:00"/>
    <s v="Amanda Martinez"/>
    <x v="0"/>
    <x v="0"/>
    <s v="Furniture"/>
    <n v="2"/>
    <n v="599.99"/>
    <n v="360"/>
    <n v="1199.98"/>
    <n v="720"/>
    <n v="479.98"/>
    <n v="0.39998999983333056"/>
    <x v="9"/>
  </r>
  <r>
    <d v="2025-10-23T00:00:00"/>
    <s v="Jessica Taylor"/>
    <x v="4"/>
    <x v="5"/>
    <s v="Electronics"/>
    <n v="3"/>
    <n v="1250"/>
    <n v="850"/>
    <n v="3750"/>
    <n v="2550"/>
    <n v="1200"/>
    <n v="0.32"/>
    <x v="9"/>
  </r>
  <r>
    <d v="2025-10-25T00:00:00"/>
    <s v="Jessica Taylor"/>
    <x v="4"/>
    <x v="8"/>
    <s v="Office Supplies"/>
    <n v="44"/>
    <n v="89.99"/>
    <n v="42"/>
    <n v="3959.56"/>
    <n v="1848"/>
    <n v="2111.56"/>
    <n v="0.53328147571952433"/>
    <x v="9"/>
  </r>
  <r>
    <d v="2025-10-26T00:00:00"/>
    <s v="James Wilson"/>
    <x v="1"/>
    <x v="9"/>
    <s v="Electronics"/>
    <n v="2"/>
    <n v="119.99"/>
    <n v="60"/>
    <n v="239.98"/>
    <n v="120"/>
    <n v="119.97999999999999"/>
    <n v="0.49995832986082173"/>
    <x v="9"/>
  </r>
  <r>
    <d v="2025-10-28T00:00:00"/>
    <s v="Michael Scott"/>
    <x v="0"/>
    <x v="13"/>
    <s v="Furniture"/>
    <n v="3"/>
    <n v="850"/>
    <n v="520"/>
    <n v="2550"/>
    <n v="1560"/>
    <n v="990"/>
    <n v="0.38823529411764707"/>
    <x v="9"/>
  </r>
  <r>
    <d v="2025-10-29T00:00:00"/>
    <s v="Sarah Jenkins"/>
    <x v="3"/>
    <x v="12"/>
    <s v="Electronics"/>
    <n v="17"/>
    <n v="89.99"/>
    <n v="45"/>
    <n v="1529.83"/>
    <n v="765"/>
    <n v="764.82999999999993"/>
    <n v="0.49994443827091894"/>
    <x v="9"/>
  </r>
  <r>
    <d v="2025-10-31T00:00:00"/>
    <s v="Sarah Jenkins"/>
    <x v="3"/>
    <x v="10"/>
    <s v="Furniture"/>
    <n v="13"/>
    <n v="299.99"/>
    <n v="160"/>
    <n v="3899.87"/>
    <n v="2080"/>
    <n v="1819.87"/>
    <n v="0.46664888829627654"/>
    <x v="9"/>
  </r>
  <r>
    <d v="2025-10-31T00:00:00"/>
    <s v="Amanda Martinez"/>
    <x v="0"/>
    <x v="8"/>
    <s v="Office Supplies"/>
    <n v="37"/>
    <n v="89.99"/>
    <n v="42"/>
    <n v="3329.6299999999997"/>
    <n v="1554"/>
    <n v="1775.6299999999997"/>
    <n v="0.53328147571952433"/>
    <x v="9"/>
  </r>
  <r>
    <d v="2025-10-31T00:00:00"/>
    <s v="James Wilson"/>
    <x v="1"/>
    <x v="14"/>
    <s v="Electronics"/>
    <n v="6"/>
    <n v="149.99"/>
    <n v="75"/>
    <n v="899.94"/>
    <n v="450"/>
    <n v="449.94000000000005"/>
    <n v="0.49996666444429633"/>
    <x v="9"/>
  </r>
  <r>
    <d v="2025-10-31T00:00:00"/>
    <s v="Robert Chen"/>
    <x v="3"/>
    <x v="8"/>
    <s v="Office Supplies"/>
    <n v="28"/>
    <n v="89.99"/>
    <n v="42"/>
    <n v="2519.7199999999998"/>
    <n v="1176"/>
    <n v="1343.7199999999998"/>
    <n v="0.53328147571952433"/>
    <x v="9"/>
  </r>
  <r>
    <d v="2025-10-31T00:00:00"/>
    <s v="David Miller"/>
    <x v="2"/>
    <x v="0"/>
    <s v="Furniture"/>
    <n v="3"/>
    <n v="599.99"/>
    <n v="360"/>
    <n v="1799.97"/>
    <n v="1080"/>
    <n v="719.97"/>
    <n v="0.39998999983333056"/>
    <x v="9"/>
  </r>
  <r>
    <d v="2025-11-01T00:00:00"/>
    <s v="Michael Scott"/>
    <x v="0"/>
    <x v="14"/>
    <s v="Electronics"/>
    <n v="8"/>
    <n v="149.99"/>
    <n v="75"/>
    <n v="1199.92"/>
    <n v="600"/>
    <n v="599.92000000000007"/>
    <n v="0.49996666444429633"/>
    <x v="10"/>
  </r>
  <r>
    <d v="2025-11-02T00:00:00"/>
    <s v="James Wilson"/>
    <x v="1"/>
    <x v="0"/>
    <s v="Furniture"/>
    <n v="4"/>
    <n v="599.99"/>
    <n v="360"/>
    <n v="2399.96"/>
    <n v="1440"/>
    <n v="959.96"/>
    <n v="0.39998999983333056"/>
    <x v="10"/>
  </r>
  <r>
    <d v="2025-11-03T00:00:00"/>
    <s v="Michael Scott"/>
    <x v="0"/>
    <x v="2"/>
    <s v="Furniture"/>
    <n v="1"/>
    <n v="179.99"/>
    <n v="95"/>
    <n v="179.99"/>
    <n v="95"/>
    <n v="84.990000000000009"/>
    <n v="0.47219289960553368"/>
    <x v="10"/>
  </r>
  <r>
    <d v="2025-11-03T00:00:00"/>
    <s v="Michael Scott"/>
    <x v="0"/>
    <x v="11"/>
    <s v="Electronics"/>
    <n v="11"/>
    <n v="349.99"/>
    <n v="210"/>
    <n v="3849.8900000000003"/>
    <n v="2310"/>
    <n v="1539.8900000000003"/>
    <n v="0.39998285665304728"/>
    <x v="10"/>
  </r>
  <r>
    <d v="2025-11-04T00:00:00"/>
    <s v="Michael Scott"/>
    <x v="0"/>
    <x v="0"/>
    <s v="Furniture"/>
    <n v="3"/>
    <n v="599.99"/>
    <n v="360"/>
    <n v="1799.97"/>
    <n v="1080"/>
    <n v="719.97"/>
    <n v="0.39998999983333056"/>
    <x v="10"/>
  </r>
  <r>
    <d v="2025-11-04T00:00:00"/>
    <s v="James Wilson"/>
    <x v="1"/>
    <x v="14"/>
    <s v="Electronics"/>
    <n v="9"/>
    <n v="149.99"/>
    <n v="75"/>
    <n v="1349.91"/>
    <n v="675"/>
    <n v="674.91000000000008"/>
    <n v="0.49996666444429633"/>
    <x v="10"/>
  </r>
  <r>
    <d v="2025-11-05T00:00:00"/>
    <s v="Amanda Martinez"/>
    <x v="0"/>
    <x v="2"/>
    <s v="Furniture"/>
    <n v="13"/>
    <n v="179.99"/>
    <n v="95"/>
    <n v="2339.87"/>
    <n v="1235"/>
    <n v="1104.8699999999999"/>
    <n v="0.47219289960553362"/>
    <x v="10"/>
  </r>
  <r>
    <d v="2025-11-06T00:00:00"/>
    <s v="Sarah Jenkins"/>
    <x v="3"/>
    <x v="0"/>
    <s v="Furniture"/>
    <n v="3"/>
    <n v="599.99"/>
    <n v="360"/>
    <n v="1799.97"/>
    <n v="1080"/>
    <n v="719.97"/>
    <n v="0.39998999983333056"/>
    <x v="10"/>
  </r>
  <r>
    <d v="2025-11-06T00:00:00"/>
    <s v="Sarah Jenkins"/>
    <x v="3"/>
    <x v="12"/>
    <s v="Electronics"/>
    <n v="49"/>
    <n v="89.99"/>
    <n v="45"/>
    <n v="4409.5099999999993"/>
    <n v="2205"/>
    <n v="2204.5099999999993"/>
    <n v="0.49994443827091889"/>
    <x v="10"/>
  </r>
  <r>
    <d v="2025-11-07T00:00:00"/>
    <s v="Amanda Martinez"/>
    <x v="0"/>
    <x v="8"/>
    <s v="Office Supplies"/>
    <n v="29"/>
    <n v="89.99"/>
    <n v="42"/>
    <n v="2609.71"/>
    <n v="1218"/>
    <n v="1391.71"/>
    <n v="0.53328147571952444"/>
    <x v="10"/>
  </r>
  <r>
    <d v="2025-11-09T00:00:00"/>
    <s v="Michael Scott"/>
    <x v="0"/>
    <x v="11"/>
    <s v="Electronics"/>
    <n v="5"/>
    <n v="349.99"/>
    <n v="210"/>
    <n v="1749.95"/>
    <n v="1050"/>
    <n v="699.95"/>
    <n v="0.39998285665304723"/>
    <x v="10"/>
  </r>
  <r>
    <d v="2025-11-10T00:00:00"/>
    <s v="David Miller"/>
    <x v="2"/>
    <x v="0"/>
    <s v="Furniture"/>
    <n v="2"/>
    <n v="599.99"/>
    <n v="360"/>
    <n v="1199.98"/>
    <n v="720"/>
    <n v="479.98"/>
    <n v="0.39998999983333056"/>
    <x v="10"/>
  </r>
  <r>
    <d v="2025-11-10T00:00:00"/>
    <s v="Emily Chen"/>
    <x v="1"/>
    <x v="2"/>
    <s v="Furniture"/>
    <n v="4"/>
    <n v="179.99"/>
    <n v="95"/>
    <n v="719.96"/>
    <n v="380"/>
    <n v="339.96000000000004"/>
    <n v="0.47219289960553368"/>
    <x v="10"/>
  </r>
  <r>
    <d v="2025-11-11T00:00:00"/>
    <s v="James Wilson"/>
    <x v="1"/>
    <x v="7"/>
    <s v="Lighting"/>
    <n v="31"/>
    <n v="49.99"/>
    <n v="22"/>
    <n v="1549.69"/>
    <n v="682"/>
    <n v="867.69"/>
    <n v="0.55991198239647932"/>
    <x v="10"/>
  </r>
  <r>
    <d v="2025-11-12T00:00:00"/>
    <s v="Emily Chen"/>
    <x v="1"/>
    <x v="9"/>
    <s v="Electronics"/>
    <n v="6"/>
    <n v="119.99"/>
    <n v="60"/>
    <n v="719.93999999999994"/>
    <n v="360"/>
    <n v="359.93999999999994"/>
    <n v="0.49995832986082167"/>
    <x v="10"/>
  </r>
  <r>
    <d v="2025-11-12T00:00:00"/>
    <s v="Robert Chen"/>
    <x v="3"/>
    <x v="4"/>
    <s v="Electronics"/>
    <n v="11"/>
    <n v="29.99"/>
    <n v="12"/>
    <n v="329.89"/>
    <n v="132"/>
    <n v="197.89"/>
    <n v="0.5998666222074025"/>
    <x v="10"/>
  </r>
  <r>
    <d v="2025-11-13T00:00:00"/>
    <s v="Amanda Martinez"/>
    <x v="0"/>
    <x v="13"/>
    <s v="Furniture"/>
    <n v="5"/>
    <n v="850"/>
    <n v="520"/>
    <n v="4250"/>
    <n v="2600"/>
    <n v="1650"/>
    <n v="0.38823529411764707"/>
    <x v="10"/>
  </r>
  <r>
    <d v="2025-11-14T00:00:00"/>
    <s v="David Miller"/>
    <x v="2"/>
    <x v="4"/>
    <s v="Electronics"/>
    <n v="47"/>
    <n v="29.99"/>
    <n v="12"/>
    <n v="1409.53"/>
    <n v="564"/>
    <n v="845.53"/>
    <n v="0.5998666222074025"/>
    <x v="10"/>
  </r>
  <r>
    <d v="2025-11-14T00:00:00"/>
    <s v="James Wilson"/>
    <x v="1"/>
    <x v="7"/>
    <s v="Lighting"/>
    <n v="49"/>
    <n v="49.99"/>
    <n v="22"/>
    <n v="2449.5100000000002"/>
    <n v="1078"/>
    <n v="1371.5100000000002"/>
    <n v="0.55991198239647932"/>
    <x v="10"/>
  </r>
  <r>
    <d v="2025-11-14T00:00:00"/>
    <s v="Amanda Martinez"/>
    <x v="0"/>
    <x v="4"/>
    <s v="Electronics"/>
    <n v="35"/>
    <n v="29.99"/>
    <n v="12"/>
    <n v="1049.6499999999999"/>
    <n v="420"/>
    <n v="629.64999999999986"/>
    <n v="0.59986662220740239"/>
    <x v="10"/>
  </r>
  <r>
    <d v="2025-11-15T00:00:00"/>
    <s v="Michael Scott"/>
    <x v="0"/>
    <x v="7"/>
    <s v="Lighting"/>
    <n v="27"/>
    <n v="49.99"/>
    <n v="22"/>
    <n v="1349.73"/>
    <n v="594"/>
    <n v="755.73"/>
    <n v="0.55991198239647932"/>
    <x v="10"/>
  </r>
  <r>
    <d v="2025-11-16T00:00:00"/>
    <s v="Sarah Jenkins"/>
    <x v="3"/>
    <x v="5"/>
    <s v="Electronics"/>
    <n v="2"/>
    <n v="1250"/>
    <n v="850"/>
    <n v="2500"/>
    <n v="1700"/>
    <n v="800"/>
    <n v="0.32"/>
    <x v="10"/>
  </r>
  <r>
    <d v="2025-11-17T00:00:00"/>
    <s v="Emily Chen"/>
    <x v="1"/>
    <x v="7"/>
    <s v="Lighting"/>
    <n v="14"/>
    <n v="49.99"/>
    <n v="22"/>
    <n v="699.86"/>
    <n v="308"/>
    <n v="391.86"/>
    <n v="0.55991198239647932"/>
    <x v="10"/>
  </r>
  <r>
    <d v="2025-11-18T00:00:00"/>
    <s v="Jessica Taylor"/>
    <x v="4"/>
    <x v="7"/>
    <s v="Lighting"/>
    <n v="36"/>
    <n v="49.99"/>
    <n v="22"/>
    <n v="1799.64"/>
    <n v="792"/>
    <n v="1007.6400000000001"/>
    <n v="0.55991198239647932"/>
    <x v="10"/>
  </r>
  <r>
    <d v="2025-11-19T00:00:00"/>
    <s v="Jessica Taylor"/>
    <x v="4"/>
    <x v="1"/>
    <s v="Lighting"/>
    <n v="47"/>
    <n v="34.99"/>
    <n v="14"/>
    <n v="1644.5300000000002"/>
    <n v="658"/>
    <n v="986.5300000000002"/>
    <n v="0.59988568162332101"/>
    <x v="10"/>
  </r>
  <r>
    <d v="2025-11-19T00:00:00"/>
    <s v="David Miller"/>
    <x v="2"/>
    <x v="7"/>
    <s v="Lighting"/>
    <n v="34"/>
    <n v="49.99"/>
    <n v="22"/>
    <n v="1699.66"/>
    <n v="748"/>
    <n v="951.66000000000008"/>
    <n v="0.55991198239647932"/>
    <x v="10"/>
  </r>
  <r>
    <d v="2025-11-20T00:00:00"/>
    <s v="Michael Scott"/>
    <x v="0"/>
    <x v="12"/>
    <s v="Electronics"/>
    <n v="43"/>
    <n v="89.99"/>
    <n v="45"/>
    <n v="3869.5699999999997"/>
    <n v="1935"/>
    <n v="1934.5699999999997"/>
    <n v="0.49994443827091894"/>
    <x v="10"/>
  </r>
  <r>
    <d v="2025-11-21T00:00:00"/>
    <s v="Robert Chen"/>
    <x v="3"/>
    <x v="9"/>
    <s v="Electronics"/>
    <n v="2"/>
    <n v="119.99"/>
    <n v="60"/>
    <n v="239.98"/>
    <n v="120"/>
    <n v="119.97999999999999"/>
    <n v="0.49995832986082173"/>
    <x v="10"/>
  </r>
  <r>
    <d v="2025-11-21T00:00:00"/>
    <s v="Emily Chen"/>
    <x v="1"/>
    <x v="10"/>
    <s v="Furniture"/>
    <n v="4"/>
    <n v="299.99"/>
    <n v="160"/>
    <n v="1199.96"/>
    <n v="640"/>
    <n v="559.96"/>
    <n v="0.46664888829627654"/>
    <x v="10"/>
  </r>
  <r>
    <d v="2025-11-21T00:00:00"/>
    <s v="Michael Scott"/>
    <x v="0"/>
    <x v="0"/>
    <s v="Furniture"/>
    <n v="2"/>
    <n v="599.99"/>
    <n v="360"/>
    <n v="1199.98"/>
    <n v="720"/>
    <n v="479.98"/>
    <n v="0.39998999983333056"/>
    <x v="10"/>
  </r>
  <r>
    <d v="2025-11-22T00:00:00"/>
    <s v="Emily Chen"/>
    <x v="1"/>
    <x v="13"/>
    <s v="Furniture"/>
    <n v="5"/>
    <n v="850"/>
    <n v="520"/>
    <n v="4250"/>
    <n v="2600"/>
    <n v="1650"/>
    <n v="0.38823529411764707"/>
    <x v="10"/>
  </r>
  <r>
    <d v="2025-11-22T00:00:00"/>
    <s v="David Miller"/>
    <x v="2"/>
    <x v="11"/>
    <s v="Electronics"/>
    <n v="13"/>
    <n v="349.99"/>
    <n v="210"/>
    <n v="4549.87"/>
    <n v="2730"/>
    <n v="1819.87"/>
    <n v="0.39998285665304723"/>
    <x v="10"/>
  </r>
  <r>
    <d v="2025-11-23T00:00:00"/>
    <s v="David Miller"/>
    <x v="2"/>
    <x v="9"/>
    <s v="Electronics"/>
    <n v="12"/>
    <n v="119.99"/>
    <n v="60"/>
    <n v="1439.8799999999999"/>
    <n v="720"/>
    <n v="719.87999999999988"/>
    <n v="0.49995832986082167"/>
    <x v="10"/>
  </r>
  <r>
    <d v="2025-11-23T00:00:00"/>
    <s v="Robert Chen"/>
    <x v="3"/>
    <x v="14"/>
    <s v="Electronics"/>
    <n v="7"/>
    <n v="149.99"/>
    <n v="75"/>
    <n v="1049.93"/>
    <n v="525"/>
    <n v="524.93000000000006"/>
    <n v="0.49996666444429633"/>
    <x v="10"/>
  </r>
  <r>
    <d v="2025-11-24T00:00:00"/>
    <s v="Jessica Taylor"/>
    <x v="4"/>
    <x v="10"/>
    <s v="Furniture"/>
    <n v="2"/>
    <n v="299.99"/>
    <n v="160"/>
    <n v="599.98"/>
    <n v="320"/>
    <n v="279.98"/>
    <n v="0.46664888829627654"/>
    <x v="10"/>
  </r>
  <r>
    <d v="2025-11-25T00:00:00"/>
    <s v="Michael Scott"/>
    <x v="0"/>
    <x v="5"/>
    <s v="Electronics"/>
    <n v="5"/>
    <n v="1250"/>
    <n v="850"/>
    <n v="6250"/>
    <n v="4250"/>
    <n v="2000"/>
    <n v="0.32"/>
    <x v="10"/>
  </r>
  <r>
    <d v="2025-11-27T00:00:00"/>
    <s v="James Wilson"/>
    <x v="1"/>
    <x v="5"/>
    <s v="Electronics"/>
    <n v="3"/>
    <n v="1250"/>
    <n v="850"/>
    <n v="3750"/>
    <n v="2550"/>
    <n v="1200"/>
    <n v="0.32"/>
    <x v="10"/>
  </r>
  <r>
    <d v="2025-11-27T00:00:00"/>
    <s v="Jessica Taylor"/>
    <x v="4"/>
    <x v="6"/>
    <s v="Office Supplies"/>
    <n v="45"/>
    <n v="79.989999999999995"/>
    <n v="40"/>
    <n v="3599.5499999999997"/>
    <n v="1800"/>
    <n v="1799.5499999999997"/>
    <n v="0.49993749218652328"/>
    <x v="10"/>
  </r>
  <r>
    <d v="2025-12-02T00:00:00"/>
    <s v="Michael Scott"/>
    <x v="0"/>
    <x v="8"/>
    <s v="Office Supplies"/>
    <n v="21"/>
    <n v="89.99"/>
    <n v="42"/>
    <n v="1889.79"/>
    <n v="882"/>
    <n v="1007.79"/>
    <n v="0.53328147571952433"/>
    <x v="11"/>
  </r>
  <r>
    <d v="2025-12-04T00:00:00"/>
    <s v="Jessica Taylor"/>
    <x v="4"/>
    <x v="7"/>
    <s v="Lighting"/>
    <n v="44"/>
    <n v="49.99"/>
    <n v="22"/>
    <n v="2199.56"/>
    <n v="968"/>
    <n v="1231.56"/>
    <n v="0.55991198239647932"/>
    <x v="11"/>
  </r>
  <r>
    <d v="2025-12-04T00:00:00"/>
    <s v="James Wilson"/>
    <x v="1"/>
    <x v="9"/>
    <s v="Electronics"/>
    <n v="2"/>
    <n v="119.99"/>
    <n v="60"/>
    <n v="239.98"/>
    <n v="120"/>
    <n v="119.97999999999999"/>
    <n v="0.49995832986082173"/>
    <x v="11"/>
  </r>
  <r>
    <d v="2025-12-04T00:00:00"/>
    <s v="Sarah Jenkins"/>
    <x v="3"/>
    <x v="2"/>
    <s v="Furniture"/>
    <n v="12"/>
    <n v="179.99"/>
    <n v="95"/>
    <n v="2159.88"/>
    <n v="1140"/>
    <n v="1019.8800000000001"/>
    <n v="0.47219289960553368"/>
    <x v="11"/>
  </r>
  <r>
    <d v="2025-12-06T00:00:00"/>
    <s v="Sarah Jenkins"/>
    <x v="3"/>
    <x v="1"/>
    <s v="Lighting"/>
    <n v="28"/>
    <n v="34.99"/>
    <n v="14"/>
    <n v="979.72"/>
    <n v="392"/>
    <n v="587.72"/>
    <n v="0.59988568162332101"/>
    <x v="11"/>
  </r>
  <r>
    <d v="2025-12-06T00:00:00"/>
    <s v="Robert Chen"/>
    <x v="3"/>
    <x v="4"/>
    <s v="Electronics"/>
    <n v="49"/>
    <n v="29.99"/>
    <n v="12"/>
    <n v="1469.51"/>
    <n v="588"/>
    <n v="881.51"/>
    <n v="0.5998666222074025"/>
    <x v="11"/>
  </r>
  <r>
    <d v="2025-12-06T00:00:00"/>
    <s v="Sarah Jenkins"/>
    <x v="3"/>
    <x v="14"/>
    <s v="Electronics"/>
    <n v="3"/>
    <n v="149.99"/>
    <n v="75"/>
    <n v="449.97"/>
    <n v="225"/>
    <n v="224.97000000000003"/>
    <n v="0.49996666444429633"/>
    <x v="11"/>
  </r>
  <r>
    <d v="2025-12-07T00:00:00"/>
    <s v="Sarah Jenkins"/>
    <x v="3"/>
    <x v="5"/>
    <s v="Electronics"/>
    <n v="3"/>
    <n v="1250"/>
    <n v="850"/>
    <n v="3750"/>
    <n v="2550"/>
    <n v="1200"/>
    <n v="0.32"/>
    <x v="11"/>
  </r>
  <r>
    <d v="2025-12-08T00:00:00"/>
    <s v="Amanda Martinez"/>
    <x v="0"/>
    <x v="13"/>
    <s v="Furniture"/>
    <n v="2"/>
    <n v="850"/>
    <n v="520"/>
    <n v="1700"/>
    <n v="1040"/>
    <n v="660"/>
    <n v="0.38823529411764707"/>
    <x v="11"/>
  </r>
  <r>
    <d v="2025-12-08T00:00:00"/>
    <s v="Emily Chen"/>
    <x v="1"/>
    <x v="5"/>
    <s v="Electronics"/>
    <n v="1"/>
    <n v="1250"/>
    <n v="850"/>
    <n v="1250"/>
    <n v="850"/>
    <n v="400"/>
    <n v="0.32"/>
    <x v="11"/>
  </r>
  <r>
    <d v="2025-12-08T00:00:00"/>
    <s v="Amanda Martinez"/>
    <x v="0"/>
    <x v="11"/>
    <s v="Electronics"/>
    <n v="2"/>
    <n v="349.99"/>
    <n v="210"/>
    <n v="699.98"/>
    <n v="420"/>
    <n v="279.98"/>
    <n v="0.39998285665304723"/>
    <x v="11"/>
  </r>
  <r>
    <d v="2025-12-09T00:00:00"/>
    <s v="Amanda Martinez"/>
    <x v="0"/>
    <x v="0"/>
    <s v="Furniture"/>
    <n v="4"/>
    <n v="599.99"/>
    <n v="360"/>
    <n v="2399.96"/>
    <n v="1440"/>
    <n v="959.96"/>
    <n v="0.39998999983333056"/>
    <x v="11"/>
  </r>
  <r>
    <d v="2025-12-10T00:00:00"/>
    <s v="Robert Chen"/>
    <x v="3"/>
    <x v="5"/>
    <s v="Electronics"/>
    <n v="4"/>
    <n v="1250"/>
    <n v="850"/>
    <n v="5000"/>
    <n v="3400"/>
    <n v="1600"/>
    <n v="0.32"/>
    <x v="11"/>
  </r>
  <r>
    <d v="2025-12-10T00:00:00"/>
    <s v="Amanda Martinez"/>
    <x v="0"/>
    <x v="11"/>
    <s v="Electronics"/>
    <n v="14"/>
    <n v="349.99"/>
    <n v="210"/>
    <n v="4899.8600000000006"/>
    <n v="2940"/>
    <n v="1959.8600000000006"/>
    <n v="0.39998285665304728"/>
    <x v="11"/>
  </r>
  <r>
    <d v="2025-12-11T00:00:00"/>
    <s v="Sarah Jenkins"/>
    <x v="3"/>
    <x v="9"/>
    <s v="Electronics"/>
    <n v="5"/>
    <n v="119.99"/>
    <n v="60"/>
    <n v="599.94999999999993"/>
    <n v="300"/>
    <n v="299.94999999999993"/>
    <n v="0.49995832986082167"/>
    <x v="11"/>
  </r>
  <r>
    <d v="2025-12-11T00:00:00"/>
    <s v="James Wilson"/>
    <x v="1"/>
    <x v="9"/>
    <s v="Electronics"/>
    <n v="13"/>
    <n v="119.99"/>
    <n v="60"/>
    <n v="1559.87"/>
    <n v="780"/>
    <n v="779.86999999999989"/>
    <n v="0.49995832986082173"/>
    <x v="11"/>
  </r>
  <r>
    <d v="2025-12-12T00:00:00"/>
    <s v="Robert Chen"/>
    <x v="3"/>
    <x v="1"/>
    <s v="Lighting"/>
    <n v="26"/>
    <n v="34.99"/>
    <n v="14"/>
    <n v="909.74"/>
    <n v="364"/>
    <n v="545.74"/>
    <n v="0.5998856816233209"/>
    <x v="11"/>
  </r>
  <r>
    <d v="2025-12-12T00:00:00"/>
    <s v="Robert Chen"/>
    <x v="3"/>
    <x v="8"/>
    <s v="Office Supplies"/>
    <n v="8"/>
    <n v="89.99"/>
    <n v="42"/>
    <n v="719.92"/>
    <n v="336"/>
    <n v="383.91999999999996"/>
    <n v="0.53328147571952433"/>
    <x v="11"/>
  </r>
  <r>
    <d v="2025-12-12T00:00:00"/>
    <s v="David Miller"/>
    <x v="2"/>
    <x v="6"/>
    <s v="Office Supplies"/>
    <n v="24"/>
    <n v="79.989999999999995"/>
    <n v="40"/>
    <n v="1919.7599999999998"/>
    <n v="960"/>
    <n v="959.75999999999976"/>
    <n v="0.49993749218652328"/>
    <x v="11"/>
  </r>
  <r>
    <d v="2025-12-12T00:00:00"/>
    <s v="Robert Chen"/>
    <x v="3"/>
    <x v="10"/>
    <s v="Furniture"/>
    <n v="4"/>
    <n v="299.99"/>
    <n v="160"/>
    <n v="1199.96"/>
    <n v="640"/>
    <n v="559.96"/>
    <n v="0.46664888829627654"/>
    <x v="11"/>
  </r>
  <r>
    <d v="2025-12-12T00:00:00"/>
    <s v="David Miller"/>
    <x v="2"/>
    <x v="5"/>
    <s v="Electronics"/>
    <n v="2"/>
    <n v="1250"/>
    <n v="850"/>
    <n v="2500"/>
    <n v="1700"/>
    <n v="800"/>
    <n v="0.32"/>
    <x v="11"/>
  </r>
  <r>
    <d v="2025-12-14T00:00:00"/>
    <s v="Robert Chen"/>
    <x v="3"/>
    <x v="13"/>
    <s v="Furniture"/>
    <n v="4"/>
    <n v="850"/>
    <n v="520"/>
    <n v="3400"/>
    <n v="2080"/>
    <n v="1320"/>
    <n v="0.38823529411764707"/>
    <x v="11"/>
  </r>
  <r>
    <d v="2025-12-15T00:00:00"/>
    <s v="Emily Chen"/>
    <x v="1"/>
    <x v="5"/>
    <s v="Electronics"/>
    <n v="3"/>
    <n v="1250"/>
    <n v="850"/>
    <n v="3750"/>
    <n v="2550"/>
    <n v="1200"/>
    <n v="0.32"/>
    <x v="11"/>
  </r>
  <r>
    <d v="2025-12-15T00:00:00"/>
    <s v="Sarah Jenkins"/>
    <x v="3"/>
    <x v="6"/>
    <s v="Office Supplies"/>
    <n v="21"/>
    <n v="79.989999999999995"/>
    <n v="40"/>
    <n v="1679.79"/>
    <n v="840"/>
    <n v="839.79"/>
    <n v="0.49993749218652328"/>
    <x v="11"/>
  </r>
  <r>
    <d v="2025-12-15T00:00:00"/>
    <s v="Robert Chen"/>
    <x v="3"/>
    <x v="3"/>
    <s v="Office Supplies"/>
    <n v="16"/>
    <n v="24.99"/>
    <n v="10"/>
    <n v="399.84"/>
    <n v="160"/>
    <n v="239.83999999999997"/>
    <n v="0.59983993597438978"/>
    <x v="11"/>
  </r>
  <r>
    <d v="2025-12-15T00:00:00"/>
    <s v="Sarah Jenkins"/>
    <x v="3"/>
    <x v="13"/>
    <s v="Furniture"/>
    <n v="1"/>
    <n v="850"/>
    <n v="520"/>
    <n v="850"/>
    <n v="520"/>
    <n v="330"/>
    <n v="0.38823529411764707"/>
    <x v="11"/>
  </r>
  <r>
    <d v="2025-12-15T00:00:00"/>
    <s v="Sarah Jenkins"/>
    <x v="3"/>
    <x v="12"/>
    <s v="Electronics"/>
    <n v="14"/>
    <n v="89.99"/>
    <n v="45"/>
    <n v="1259.8599999999999"/>
    <n v="630"/>
    <n v="629.8599999999999"/>
    <n v="0.49994443827091894"/>
    <x v="11"/>
  </r>
  <r>
    <d v="2025-12-16T00:00:00"/>
    <s v="Jessica Taylor"/>
    <x v="4"/>
    <x v="7"/>
    <s v="Lighting"/>
    <n v="5"/>
    <n v="49.99"/>
    <n v="22"/>
    <n v="249.95000000000002"/>
    <n v="110"/>
    <n v="139.95000000000002"/>
    <n v="0.55991198239647932"/>
    <x v="11"/>
  </r>
  <r>
    <d v="2025-12-17T00:00:00"/>
    <s v="Robert Chen"/>
    <x v="3"/>
    <x v="10"/>
    <s v="Furniture"/>
    <n v="6"/>
    <n v="299.99"/>
    <n v="160"/>
    <n v="1799.94"/>
    <n v="960"/>
    <n v="839.94"/>
    <n v="0.46664888829627654"/>
    <x v="11"/>
  </r>
  <r>
    <d v="2025-12-18T00:00:00"/>
    <s v="Michael Scott"/>
    <x v="0"/>
    <x v="12"/>
    <s v="Electronics"/>
    <n v="30"/>
    <n v="89.99"/>
    <n v="45"/>
    <n v="2699.7"/>
    <n v="1350"/>
    <n v="1349.6999999999998"/>
    <n v="0.49994443827091894"/>
    <x v="11"/>
  </r>
  <r>
    <d v="2025-12-18T00:00:00"/>
    <s v="Jessica Taylor"/>
    <x v="4"/>
    <x v="3"/>
    <s v="Office Supplies"/>
    <n v="22"/>
    <n v="24.99"/>
    <n v="10"/>
    <n v="549.78"/>
    <n v="220"/>
    <n v="329.78"/>
    <n v="0.59983993597438978"/>
    <x v="11"/>
  </r>
  <r>
    <d v="2025-12-20T00:00:00"/>
    <s v="Michael Scott"/>
    <x v="0"/>
    <x v="3"/>
    <s v="Office Supplies"/>
    <n v="18"/>
    <n v="24.99"/>
    <n v="10"/>
    <n v="449.82"/>
    <n v="180"/>
    <n v="269.82"/>
    <n v="0.59983993597438978"/>
    <x v="11"/>
  </r>
  <r>
    <d v="2025-12-21T00:00:00"/>
    <s v="Sarah Jenkins"/>
    <x v="3"/>
    <x v="6"/>
    <s v="Office Supplies"/>
    <n v="33"/>
    <n v="79.989999999999995"/>
    <n v="40"/>
    <n v="2639.6699999999996"/>
    <n v="1320"/>
    <n v="1319.6699999999996"/>
    <n v="0.49993749218652322"/>
    <x v="11"/>
  </r>
  <r>
    <d v="2025-12-21T00:00:00"/>
    <s v="Sarah Jenkins"/>
    <x v="3"/>
    <x v="5"/>
    <s v="Electronics"/>
    <n v="4"/>
    <n v="1250"/>
    <n v="850"/>
    <n v="5000"/>
    <n v="3400"/>
    <n v="1600"/>
    <n v="0.32"/>
    <x v="11"/>
  </r>
  <r>
    <d v="2025-12-23T00:00:00"/>
    <s v="Jessica Taylor"/>
    <x v="4"/>
    <x v="6"/>
    <s v="Office Supplies"/>
    <n v="40"/>
    <n v="79.989999999999995"/>
    <n v="40"/>
    <n v="3199.6"/>
    <n v="1600"/>
    <n v="1599.6"/>
    <n v="0.49993749218652328"/>
    <x v="11"/>
  </r>
  <r>
    <d v="2025-12-25T00:00:00"/>
    <s v="Jessica Taylor"/>
    <x v="4"/>
    <x v="6"/>
    <s v="Office Supplies"/>
    <n v="39"/>
    <n v="79.989999999999995"/>
    <n v="40"/>
    <n v="3119.6099999999997"/>
    <n v="1560"/>
    <n v="1559.6099999999997"/>
    <n v="0.49993749218652328"/>
    <x v="11"/>
  </r>
  <r>
    <d v="2025-12-25T00:00:00"/>
    <s v="Michael Scott"/>
    <x v="0"/>
    <x v="3"/>
    <s v="Office Supplies"/>
    <n v="16"/>
    <n v="24.99"/>
    <n v="10"/>
    <n v="399.84"/>
    <n v="160"/>
    <n v="239.83999999999997"/>
    <n v="0.59983993597438978"/>
    <x v="11"/>
  </r>
  <r>
    <d v="2025-12-26T00:00:00"/>
    <s v="David Miller"/>
    <x v="2"/>
    <x v="10"/>
    <s v="Furniture"/>
    <n v="7"/>
    <n v="299.99"/>
    <n v="160"/>
    <n v="2099.9300000000003"/>
    <n v="1120"/>
    <n v="979.93000000000029"/>
    <n v="0.4666488882962766"/>
    <x v="11"/>
  </r>
  <r>
    <d v="2025-12-26T00:00:00"/>
    <s v="Michael Scott"/>
    <x v="0"/>
    <x v="12"/>
    <s v="Electronics"/>
    <n v="33"/>
    <n v="89.99"/>
    <n v="45"/>
    <n v="2969.6699999999996"/>
    <n v="1485"/>
    <n v="1484.6699999999996"/>
    <n v="0.49994443827091894"/>
    <x v="11"/>
  </r>
  <r>
    <d v="2025-12-26T00:00:00"/>
    <s v="Jessica Taylor"/>
    <x v="4"/>
    <x v="4"/>
    <s v="Electronics"/>
    <n v="15"/>
    <n v="29.99"/>
    <n v="12"/>
    <n v="449.84999999999997"/>
    <n v="180"/>
    <n v="269.84999999999997"/>
    <n v="0.59986662220740239"/>
    <x v="11"/>
  </r>
  <r>
    <d v="2025-12-26T00:00:00"/>
    <s v="James Wilson"/>
    <x v="1"/>
    <x v="5"/>
    <s v="Electronics"/>
    <n v="1"/>
    <n v="1250"/>
    <n v="850"/>
    <n v="1250"/>
    <n v="850"/>
    <n v="400"/>
    <n v="0.32"/>
    <x v="11"/>
  </r>
  <r>
    <d v="2025-12-26T00:00:00"/>
    <s v="Jessica Taylor"/>
    <x v="4"/>
    <x v="3"/>
    <s v="Office Supplies"/>
    <n v="10"/>
    <n v="24.99"/>
    <n v="10"/>
    <n v="249.89999999999998"/>
    <n v="100"/>
    <n v="149.89999999999998"/>
    <n v="0.59983993597438967"/>
    <x v="11"/>
  </r>
  <r>
    <d v="2025-12-30T00:00:00"/>
    <s v="James Wilson"/>
    <x v="1"/>
    <x v="12"/>
    <s v="Electronics"/>
    <n v="19"/>
    <n v="89.99"/>
    <n v="45"/>
    <n v="1709.81"/>
    <n v="855"/>
    <n v="854.81"/>
    <n v="0.499944438270919"/>
    <x v="11"/>
  </r>
  <r>
    <d v="2025-12-31T00:00:00"/>
    <s v="Emily Chen"/>
    <x v="1"/>
    <x v="8"/>
    <s v="Office Supplies"/>
    <n v="36"/>
    <n v="89.99"/>
    <n v="42"/>
    <n v="3239.64"/>
    <n v="1512"/>
    <n v="1727.6399999999999"/>
    <n v="0.53328147571952433"/>
    <x v="11"/>
  </r>
  <r>
    <d v="2025-12-31T00:00:00"/>
    <s v="Jessica Taylor"/>
    <x v="4"/>
    <x v="4"/>
    <s v="Electronics"/>
    <n v="15"/>
    <n v="29.99"/>
    <n v="12"/>
    <n v="449.84999999999997"/>
    <n v="180"/>
    <n v="269.84999999999997"/>
    <n v="0.59986662220740239"/>
    <x v="11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  <r>
    <m/>
    <m/>
    <x v="5"/>
    <x v="15"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92354-5CC0-40E5-812D-1001169B28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h="1" x="1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1213F-26F6-4776-A8BD-E2C668D6AD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3">
    <pivotField showAll="0"/>
    <pivotField showAll="0"/>
    <pivotField showAll="0"/>
    <pivotField axis="axisRow" showAll="0" measureFilter="1" sortType="descending">
      <items count="17">
        <item x="11"/>
        <item x="2"/>
        <item x="6"/>
        <item x="12"/>
        <item x="10"/>
        <item x="13"/>
        <item x="3"/>
        <item x="5"/>
        <item x="7"/>
        <item x="14"/>
        <item x="1"/>
        <item x="0"/>
        <item x="9"/>
        <item x="8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 v="7"/>
    </i>
    <i>
      <x v="13"/>
    </i>
    <i>
      <x/>
    </i>
    <i>
      <x v="4"/>
    </i>
    <i>
      <x v="3"/>
    </i>
    <i t="grand">
      <x/>
    </i>
  </rowItems>
  <colItems count="1">
    <i/>
  </colItems>
  <dataFields count="1">
    <dataField name="Sum of Gross sales" fld="8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05A05-4F6F-4A65-B642-9076EC4B61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13">
    <pivotField showAll="0"/>
    <pivotField showAll="0"/>
    <pivotField axis="axisRow" showAll="0" sortType="descending">
      <items count="7">
        <item x="4"/>
        <item x="0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6">
    <i>
      <x v="4"/>
    </i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sales" fld="8" baseField="0" baseItem="0"/>
    <dataField name="Sum of Profit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AE213-EDFD-4B83-93E3-1561567B61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4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3">
    <i>
      <x v="8"/>
    </i>
    <i>
      <x v="1"/>
    </i>
    <i>
      <x v="10"/>
    </i>
    <i>
      <x/>
    </i>
    <i>
      <x v="2"/>
    </i>
    <i>
      <x v="5"/>
    </i>
    <i>
      <x v="9"/>
    </i>
    <i>
      <x v="6"/>
    </i>
    <i>
      <x v="3"/>
    </i>
    <i>
      <x v="11"/>
    </i>
    <i>
      <x v="4"/>
    </i>
    <i>
      <x v="7"/>
    </i>
    <i t="grand">
      <x/>
    </i>
  </rowItems>
  <colItems count="1">
    <i/>
  </colItems>
  <dataFields count="1">
    <dataField name="Sum of Profit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2CA9-4575-4D7D-A8D3-EC209A588EC6}">
  <dimension ref="A3:B16"/>
  <sheetViews>
    <sheetView topLeftCell="AG1" workbookViewId="0">
      <selection activeCell="A16" sqref="A16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3" t="s">
        <v>45</v>
      </c>
      <c r="B3" t="s">
        <v>59</v>
      </c>
    </row>
    <row r="4" spans="1:2" x14ac:dyDescent="0.3">
      <c r="A4" s="4" t="s">
        <v>46</v>
      </c>
      <c r="B4">
        <v>81033.03</v>
      </c>
    </row>
    <row r="5" spans="1:2" x14ac:dyDescent="0.3">
      <c r="A5" s="4" t="s">
        <v>47</v>
      </c>
      <c r="B5">
        <v>99993.45</v>
      </c>
    </row>
    <row r="6" spans="1:2" x14ac:dyDescent="0.3">
      <c r="A6" s="4" t="s">
        <v>48</v>
      </c>
      <c r="B6">
        <v>82363.459999999992</v>
      </c>
    </row>
    <row r="7" spans="1:2" x14ac:dyDescent="0.3">
      <c r="A7" s="4" t="s">
        <v>49</v>
      </c>
      <c r="B7">
        <v>71708.080000000016</v>
      </c>
    </row>
    <row r="8" spans="1:2" x14ac:dyDescent="0.3">
      <c r="A8" s="4" t="s">
        <v>50</v>
      </c>
      <c r="B8">
        <v>53145.469999999994</v>
      </c>
    </row>
    <row r="9" spans="1:2" x14ac:dyDescent="0.3">
      <c r="A9" s="4" t="s">
        <v>51</v>
      </c>
      <c r="B9">
        <v>77859.179999999993</v>
      </c>
    </row>
    <row r="10" spans="1:2" x14ac:dyDescent="0.3">
      <c r="A10" s="4" t="s">
        <v>52</v>
      </c>
      <c r="B10">
        <v>74202.51999999999</v>
      </c>
    </row>
    <row r="11" spans="1:2" x14ac:dyDescent="0.3">
      <c r="A11" s="4" t="s">
        <v>53</v>
      </c>
      <c r="B11">
        <v>48876.779999999992</v>
      </c>
    </row>
    <row r="12" spans="1:2" x14ac:dyDescent="0.3">
      <c r="A12" s="4" t="s">
        <v>54</v>
      </c>
      <c r="B12">
        <v>93955.6</v>
      </c>
    </row>
    <row r="13" spans="1:2" x14ac:dyDescent="0.3">
      <c r="A13" s="4" t="s">
        <v>55</v>
      </c>
      <c r="B13">
        <v>79058.920000000013</v>
      </c>
    </row>
    <row r="14" spans="1:2" x14ac:dyDescent="0.3">
      <c r="A14" s="4" t="s">
        <v>56</v>
      </c>
      <c r="B14">
        <v>90534.48000000001</v>
      </c>
    </row>
    <row r="15" spans="1:2" x14ac:dyDescent="0.3">
      <c r="A15" s="4" t="s">
        <v>57</v>
      </c>
      <c r="B15">
        <v>69022.210000000006</v>
      </c>
    </row>
    <row r="16" spans="1:2" x14ac:dyDescent="0.3">
      <c r="A16" s="4" t="s">
        <v>58</v>
      </c>
      <c r="B16">
        <v>921753.17999999993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12E9-3B54-42E8-9D6E-3B31BCBF90B8}">
  <dimension ref="A3:B9"/>
  <sheetViews>
    <sheetView workbookViewId="0">
      <selection activeCell="K25" sqref="K25"/>
    </sheetView>
  </sheetViews>
  <sheetFormatPr defaultRowHeight="14.4" x14ac:dyDescent="0.3"/>
  <cols>
    <col min="1" max="1" width="19.6640625" bestFit="1" customWidth="1"/>
    <col min="2" max="2" width="16.5546875" bestFit="1" customWidth="1"/>
  </cols>
  <sheetData>
    <row r="3" spans="1:2" x14ac:dyDescent="0.3">
      <c r="A3" s="3" t="s">
        <v>45</v>
      </c>
      <c r="B3" t="s">
        <v>59</v>
      </c>
    </row>
    <row r="4" spans="1:2" x14ac:dyDescent="0.3">
      <c r="A4" s="4" t="s">
        <v>26</v>
      </c>
      <c r="B4">
        <v>132500</v>
      </c>
    </row>
    <row r="5" spans="1:2" x14ac:dyDescent="0.3">
      <c r="A5" s="4" t="s">
        <v>30</v>
      </c>
      <c r="B5">
        <v>101778.68999999997</v>
      </c>
    </row>
    <row r="6" spans="1:2" x14ac:dyDescent="0.3">
      <c r="A6" s="4" t="s">
        <v>35</v>
      </c>
      <c r="B6">
        <v>99397.159999999974</v>
      </c>
    </row>
    <row r="7" spans="1:2" x14ac:dyDescent="0.3">
      <c r="A7" s="4" t="s">
        <v>34</v>
      </c>
      <c r="B7">
        <v>82197.260000000009</v>
      </c>
    </row>
    <row r="8" spans="1:2" x14ac:dyDescent="0.3">
      <c r="A8" s="4" t="s">
        <v>36</v>
      </c>
      <c r="B8">
        <v>82160.869999999981</v>
      </c>
    </row>
    <row r="9" spans="1:2" x14ac:dyDescent="0.3">
      <c r="A9" s="4" t="s">
        <v>58</v>
      </c>
      <c r="B9">
        <v>498033.98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EA33-8EED-404D-A5A7-924E0EB4C886}">
  <dimension ref="A3:C9"/>
  <sheetViews>
    <sheetView topLeftCell="A2" zoomScale="130" workbookViewId="0">
      <selection activeCell="B15" sqref="B15"/>
    </sheetView>
  </sheetViews>
  <sheetFormatPr defaultRowHeight="14.4" x14ac:dyDescent="0.3"/>
  <cols>
    <col min="1" max="1" width="12.44140625" bestFit="1" customWidth="1"/>
    <col min="2" max="2" width="16.5546875" bestFit="1" customWidth="1"/>
    <col min="3" max="3" width="11.5546875" bestFit="1" customWidth="1"/>
  </cols>
  <sheetData>
    <row r="3" spans="1:3" x14ac:dyDescent="0.3">
      <c r="A3" s="3" t="s">
        <v>45</v>
      </c>
      <c r="B3" t="s">
        <v>59</v>
      </c>
      <c r="C3" t="s">
        <v>60</v>
      </c>
    </row>
    <row r="4" spans="1:3" x14ac:dyDescent="0.3">
      <c r="A4" s="4" t="s">
        <v>23</v>
      </c>
      <c r="B4">
        <v>243479.63000000015</v>
      </c>
      <c r="C4">
        <v>107185.62999999996</v>
      </c>
    </row>
    <row r="5" spans="1:3" x14ac:dyDescent="0.3">
      <c r="A5" s="4" t="s">
        <v>9</v>
      </c>
      <c r="B5">
        <v>221610.20000000007</v>
      </c>
      <c r="C5">
        <v>103558.2</v>
      </c>
    </row>
    <row r="6" spans="1:3" x14ac:dyDescent="0.3">
      <c r="A6" s="4" t="s">
        <v>16</v>
      </c>
      <c r="B6">
        <v>212272.59</v>
      </c>
      <c r="C6">
        <v>97262.589999999967</v>
      </c>
    </row>
    <row r="7" spans="1:3" x14ac:dyDescent="0.3">
      <c r="A7" s="4" t="s">
        <v>32</v>
      </c>
      <c r="B7">
        <v>144585.31999999998</v>
      </c>
      <c r="C7">
        <v>68701.319999999992</v>
      </c>
    </row>
    <row r="8" spans="1:3" x14ac:dyDescent="0.3">
      <c r="A8" s="4" t="s">
        <v>19</v>
      </c>
      <c r="B8">
        <v>99805.440000000002</v>
      </c>
      <c r="C8">
        <v>46447.44000000001</v>
      </c>
    </row>
    <row r="9" spans="1:3" x14ac:dyDescent="0.3">
      <c r="A9" s="4" t="s">
        <v>58</v>
      </c>
      <c r="B9">
        <v>921753.18000000017</v>
      </c>
      <c r="C9">
        <v>423155.17999999993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AE47-596E-40E7-9203-A957D45EE065}">
  <dimension ref="A1"/>
  <sheetViews>
    <sheetView tabSelected="1" zoomScale="53" zoomScaleNormal="53" workbookViewId="0">
      <selection activeCell="Y19" sqref="Y19"/>
    </sheetView>
  </sheetViews>
  <sheetFormatPr defaultRowHeight="14.4" x14ac:dyDescent="0.3"/>
  <cols>
    <col min="7" max="7" width="19.664062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CFA4-1B4F-4B28-9E06-2463EB012DF9}">
  <dimension ref="A3:B16"/>
  <sheetViews>
    <sheetView topLeftCell="A4" workbookViewId="0">
      <selection activeCell="F27" sqref="F2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45</v>
      </c>
      <c r="B3" t="s">
        <v>60</v>
      </c>
    </row>
    <row r="4" spans="1:2" x14ac:dyDescent="0.3">
      <c r="A4" s="4" t="s">
        <v>54</v>
      </c>
      <c r="B4">
        <v>44660.599999999991</v>
      </c>
    </row>
    <row r="5" spans="1:2" x14ac:dyDescent="0.3">
      <c r="A5" s="4" t="s">
        <v>47</v>
      </c>
      <c r="B5">
        <v>44480.450000000004</v>
      </c>
    </row>
    <row r="6" spans="1:2" x14ac:dyDescent="0.3">
      <c r="A6" s="4" t="s">
        <v>56</v>
      </c>
      <c r="B6">
        <v>40558.48000000001</v>
      </c>
    </row>
    <row r="7" spans="1:2" x14ac:dyDescent="0.3">
      <c r="A7" s="4" t="s">
        <v>46</v>
      </c>
      <c r="B7">
        <v>37882.03</v>
      </c>
    </row>
    <row r="8" spans="1:2" x14ac:dyDescent="0.3">
      <c r="A8" s="4" t="s">
        <v>48</v>
      </c>
      <c r="B8">
        <v>36406.46</v>
      </c>
    </row>
    <row r="9" spans="1:2" x14ac:dyDescent="0.3">
      <c r="A9" s="4" t="s">
        <v>51</v>
      </c>
      <c r="B9">
        <v>35592.18</v>
      </c>
    </row>
    <row r="10" spans="1:2" x14ac:dyDescent="0.3">
      <c r="A10" s="4" t="s">
        <v>55</v>
      </c>
      <c r="B10">
        <v>35424.92</v>
      </c>
    </row>
    <row r="11" spans="1:2" x14ac:dyDescent="0.3">
      <c r="A11" s="4" t="s">
        <v>52</v>
      </c>
      <c r="B11">
        <v>34531.519999999997</v>
      </c>
    </row>
    <row r="12" spans="1:2" x14ac:dyDescent="0.3">
      <c r="A12" s="4" t="s">
        <v>49</v>
      </c>
      <c r="B12">
        <v>33984.079999999994</v>
      </c>
    </row>
    <row r="13" spans="1:2" x14ac:dyDescent="0.3">
      <c r="A13" s="4" t="s">
        <v>57</v>
      </c>
      <c r="B13">
        <v>33774.210000000006</v>
      </c>
    </row>
    <row r="14" spans="1:2" x14ac:dyDescent="0.3">
      <c r="A14" s="4" t="s">
        <v>50</v>
      </c>
      <c r="B14">
        <v>24018.47</v>
      </c>
    </row>
    <row r="15" spans="1:2" x14ac:dyDescent="0.3">
      <c r="A15" s="4" t="s">
        <v>53</v>
      </c>
      <c r="B15">
        <v>21841.78</v>
      </c>
    </row>
    <row r="16" spans="1:2" x14ac:dyDescent="0.3">
      <c r="A16" s="4" t="s">
        <v>58</v>
      </c>
      <c r="B16">
        <v>423155.18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9C95-D772-4E16-B8F9-527B5AC1F42D}">
  <dimension ref="A1:M501"/>
  <sheetViews>
    <sheetView topLeftCell="A498" workbookViewId="0">
      <selection activeCell="C509" sqref="C509"/>
    </sheetView>
  </sheetViews>
  <sheetFormatPr defaultRowHeight="14.4" x14ac:dyDescent="0.3"/>
  <cols>
    <col min="1" max="1" width="14.77734375" customWidth="1"/>
    <col min="2" max="2" width="14.88671875" customWidth="1"/>
    <col min="3" max="3" width="16.44140625" customWidth="1"/>
    <col min="4" max="4" width="14.109375" customWidth="1"/>
    <col min="5" max="5" width="12.6640625" customWidth="1"/>
    <col min="6" max="6" width="12.109375" customWidth="1"/>
    <col min="7" max="7" width="12.33203125" customWidth="1"/>
    <col min="8" max="8" width="12.88671875" customWidth="1"/>
    <col min="9" max="9" width="11.21875" customWidth="1"/>
    <col min="12" max="12" width="12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3">
      <c r="A2" s="1">
        <v>45658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599.99</v>
      </c>
      <c r="H2">
        <v>360</v>
      </c>
      <c r="I2">
        <f>F2*G2</f>
        <v>1199.98</v>
      </c>
      <c r="J2">
        <f>F2*H2</f>
        <v>720</v>
      </c>
      <c r="K2">
        <f>I2-J2</f>
        <v>479.98</v>
      </c>
      <c r="L2" s="2">
        <f>K2/I2</f>
        <v>0.39998999983333056</v>
      </c>
      <c r="M2" t="str">
        <f>TEXT(A2,"mmm-yyyy")</f>
        <v>Jan-2025</v>
      </c>
    </row>
    <row r="3" spans="1:13" x14ac:dyDescent="0.3">
      <c r="A3" s="1">
        <v>45659</v>
      </c>
      <c r="B3" t="s">
        <v>12</v>
      </c>
      <c r="C3" t="s">
        <v>9</v>
      </c>
      <c r="D3" t="s">
        <v>13</v>
      </c>
      <c r="E3" t="s">
        <v>14</v>
      </c>
      <c r="F3">
        <v>32</v>
      </c>
      <c r="G3">
        <v>34.99</v>
      </c>
      <c r="H3">
        <v>14</v>
      </c>
      <c r="I3">
        <f t="shared" ref="I3:I66" si="0">F3*G3</f>
        <v>1119.68</v>
      </c>
      <c r="J3">
        <f t="shared" ref="J3:J66" si="1">F3*H3</f>
        <v>448</v>
      </c>
      <c r="K3">
        <f t="shared" ref="K3:K66" si="2">I3-J3</f>
        <v>671.68000000000006</v>
      </c>
      <c r="L3" s="2">
        <f t="shared" ref="L3:L66" si="3">K3/I3</f>
        <v>0.59988568162332101</v>
      </c>
      <c r="M3" t="str">
        <f t="shared" ref="M3:M66" si="4">TEXT(A3,"mmm-yyyy")</f>
        <v>Jan-2025</v>
      </c>
    </row>
    <row r="4" spans="1:13" x14ac:dyDescent="0.3">
      <c r="A4" s="1">
        <v>45659</v>
      </c>
      <c r="B4" t="s">
        <v>15</v>
      </c>
      <c r="C4" t="s">
        <v>16</v>
      </c>
      <c r="D4" t="s">
        <v>17</v>
      </c>
      <c r="E4" t="s">
        <v>11</v>
      </c>
      <c r="F4">
        <v>1</v>
      </c>
      <c r="G4">
        <v>179.99</v>
      </c>
      <c r="H4">
        <v>95</v>
      </c>
      <c r="I4">
        <f t="shared" si="0"/>
        <v>179.99</v>
      </c>
      <c r="J4">
        <f t="shared" si="1"/>
        <v>95</v>
      </c>
      <c r="K4">
        <f t="shared" si="2"/>
        <v>84.990000000000009</v>
      </c>
      <c r="L4" s="2">
        <f t="shared" si="3"/>
        <v>0.47219289960553368</v>
      </c>
      <c r="M4" t="str">
        <f t="shared" si="4"/>
        <v>Jan-2025</v>
      </c>
    </row>
    <row r="5" spans="1:13" x14ac:dyDescent="0.3">
      <c r="A5" s="1">
        <v>45659</v>
      </c>
      <c r="B5" t="s">
        <v>18</v>
      </c>
      <c r="C5" t="s">
        <v>19</v>
      </c>
      <c r="D5" t="s">
        <v>20</v>
      </c>
      <c r="E5" t="s">
        <v>21</v>
      </c>
      <c r="F5">
        <v>34</v>
      </c>
      <c r="G5">
        <v>24.99</v>
      </c>
      <c r="H5">
        <v>10</v>
      </c>
      <c r="I5">
        <f t="shared" si="0"/>
        <v>849.66</v>
      </c>
      <c r="J5">
        <f t="shared" si="1"/>
        <v>340</v>
      </c>
      <c r="K5">
        <f t="shared" si="2"/>
        <v>509.65999999999997</v>
      </c>
      <c r="L5" s="2">
        <f t="shared" si="3"/>
        <v>0.59983993597438978</v>
      </c>
      <c r="M5" t="str">
        <f t="shared" si="4"/>
        <v>Jan-2025</v>
      </c>
    </row>
    <row r="6" spans="1:13" x14ac:dyDescent="0.3">
      <c r="A6" s="1">
        <v>45661</v>
      </c>
      <c r="B6" t="s">
        <v>22</v>
      </c>
      <c r="C6" t="s">
        <v>23</v>
      </c>
      <c r="D6" t="s">
        <v>24</v>
      </c>
      <c r="E6" t="s">
        <v>25</v>
      </c>
      <c r="F6">
        <v>42</v>
      </c>
      <c r="G6">
        <v>29.99</v>
      </c>
      <c r="H6">
        <v>12</v>
      </c>
      <c r="I6">
        <f t="shared" si="0"/>
        <v>1259.58</v>
      </c>
      <c r="J6">
        <f t="shared" si="1"/>
        <v>504</v>
      </c>
      <c r="K6">
        <f t="shared" si="2"/>
        <v>755.57999999999993</v>
      </c>
      <c r="L6" s="2">
        <f t="shared" si="3"/>
        <v>0.59986662220740239</v>
      </c>
      <c r="M6" t="str">
        <f t="shared" si="4"/>
        <v>Jan-2025</v>
      </c>
    </row>
    <row r="7" spans="1:13" x14ac:dyDescent="0.3">
      <c r="A7" s="1">
        <v>45661</v>
      </c>
      <c r="B7" t="s">
        <v>22</v>
      </c>
      <c r="C7" t="s">
        <v>23</v>
      </c>
      <c r="D7" t="s">
        <v>26</v>
      </c>
      <c r="E7" t="s">
        <v>25</v>
      </c>
      <c r="F7">
        <v>3</v>
      </c>
      <c r="G7">
        <v>1250</v>
      </c>
      <c r="H7">
        <v>850</v>
      </c>
      <c r="I7">
        <f t="shared" si="0"/>
        <v>3750</v>
      </c>
      <c r="J7">
        <f t="shared" si="1"/>
        <v>2550</v>
      </c>
      <c r="K7">
        <f t="shared" si="2"/>
        <v>1200</v>
      </c>
      <c r="L7" s="2">
        <f t="shared" si="3"/>
        <v>0.32</v>
      </c>
      <c r="M7" t="str">
        <f t="shared" si="4"/>
        <v>Jan-2025</v>
      </c>
    </row>
    <row r="8" spans="1:13" x14ac:dyDescent="0.3">
      <c r="A8" s="1">
        <v>45662</v>
      </c>
      <c r="B8" t="s">
        <v>27</v>
      </c>
      <c r="C8" t="s">
        <v>23</v>
      </c>
      <c r="D8" t="s">
        <v>20</v>
      </c>
      <c r="E8" t="s">
        <v>21</v>
      </c>
      <c r="F8">
        <v>8</v>
      </c>
      <c r="G8">
        <v>24.99</v>
      </c>
      <c r="H8">
        <v>10</v>
      </c>
      <c r="I8">
        <f t="shared" si="0"/>
        <v>199.92</v>
      </c>
      <c r="J8">
        <f t="shared" si="1"/>
        <v>80</v>
      </c>
      <c r="K8">
        <f t="shared" si="2"/>
        <v>119.91999999999999</v>
      </c>
      <c r="L8" s="2">
        <f t="shared" si="3"/>
        <v>0.59983993597438978</v>
      </c>
      <c r="M8" t="str">
        <f t="shared" si="4"/>
        <v>Jan-2025</v>
      </c>
    </row>
    <row r="9" spans="1:13" x14ac:dyDescent="0.3">
      <c r="A9" s="1">
        <v>45662</v>
      </c>
      <c r="B9" t="s">
        <v>18</v>
      </c>
      <c r="C9" t="s">
        <v>19</v>
      </c>
      <c r="D9" t="s">
        <v>17</v>
      </c>
      <c r="E9" t="s">
        <v>11</v>
      </c>
      <c r="F9">
        <v>1</v>
      </c>
      <c r="G9">
        <v>179.99</v>
      </c>
      <c r="H9">
        <v>95</v>
      </c>
      <c r="I9">
        <f t="shared" si="0"/>
        <v>179.99</v>
      </c>
      <c r="J9">
        <f t="shared" si="1"/>
        <v>95</v>
      </c>
      <c r="K9">
        <f t="shared" si="2"/>
        <v>84.990000000000009</v>
      </c>
      <c r="L9" s="2">
        <f t="shared" si="3"/>
        <v>0.47219289960553368</v>
      </c>
      <c r="M9" t="str">
        <f t="shared" si="4"/>
        <v>Jan-2025</v>
      </c>
    </row>
    <row r="10" spans="1:13" x14ac:dyDescent="0.3">
      <c r="A10" s="1">
        <v>45663</v>
      </c>
      <c r="B10" t="s">
        <v>22</v>
      </c>
      <c r="C10" t="s">
        <v>23</v>
      </c>
      <c r="D10" t="s">
        <v>28</v>
      </c>
      <c r="E10" t="s">
        <v>21</v>
      </c>
      <c r="F10">
        <v>12</v>
      </c>
      <c r="G10">
        <v>79.989999999999995</v>
      </c>
      <c r="H10">
        <v>40</v>
      </c>
      <c r="I10">
        <f t="shared" si="0"/>
        <v>959.87999999999988</v>
      </c>
      <c r="J10">
        <f t="shared" si="1"/>
        <v>480</v>
      </c>
      <c r="K10">
        <f t="shared" si="2"/>
        <v>479.87999999999988</v>
      </c>
      <c r="L10" s="2">
        <f t="shared" si="3"/>
        <v>0.49993749218652328</v>
      </c>
      <c r="M10" t="str">
        <f t="shared" si="4"/>
        <v>Jan-2025</v>
      </c>
    </row>
    <row r="11" spans="1:13" x14ac:dyDescent="0.3">
      <c r="A11" s="1">
        <v>45666</v>
      </c>
      <c r="B11" t="s">
        <v>18</v>
      </c>
      <c r="C11" t="s">
        <v>19</v>
      </c>
      <c r="D11" t="s">
        <v>29</v>
      </c>
      <c r="E11" t="s">
        <v>14</v>
      </c>
      <c r="F11">
        <v>33</v>
      </c>
      <c r="G11">
        <v>49.99</v>
      </c>
      <c r="H11">
        <v>22</v>
      </c>
      <c r="I11">
        <f t="shared" si="0"/>
        <v>1649.67</v>
      </c>
      <c r="J11">
        <f t="shared" si="1"/>
        <v>726</v>
      </c>
      <c r="K11">
        <f t="shared" si="2"/>
        <v>923.67000000000007</v>
      </c>
      <c r="L11" s="2">
        <f t="shared" si="3"/>
        <v>0.55991198239647932</v>
      </c>
      <c r="M11" t="str">
        <f t="shared" si="4"/>
        <v>Jan-2025</v>
      </c>
    </row>
    <row r="12" spans="1:13" x14ac:dyDescent="0.3">
      <c r="A12" s="1">
        <v>45666</v>
      </c>
      <c r="B12" t="s">
        <v>12</v>
      </c>
      <c r="C12" t="s">
        <v>9</v>
      </c>
      <c r="D12" t="s">
        <v>10</v>
      </c>
      <c r="E12" t="s">
        <v>11</v>
      </c>
      <c r="F12">
        <v>3</v>
      </c>
      <c r="G12">
        <v>599.99</v>
      </c>
      <c r="H12">
        <v>360</v>
      </c>
      <c r="I12">
        <f t="shared" si="0"/>
        <v>1799.97</v>
      </c>
      <c r="J12">
        <f t="shared" si="1"/>
        <v>1080</v>
      </c>
      <c r="K12">
        <f t="shared" si="2"/>
        <v>719.97</v>
      </c>
      <c r="L12" s="2">
        <f t="shared" si="3"/>
        <v>0.39998999983333056</v>
      </c>
      <c r="M12" t="str">
        <f t="shared" si="4"/>
        <v>Jan-2025</v>
      </c>
    </row>
    <row r="13" spans="1:13" x14ac:dyDescent="0.3">
      <c r="A13" s="1">
        <v>45667</v>
      </c>
      <c r="B13" t="s">
        <v>27</v>
      </c>
      <c r="C13" t="s">
        <v>23</v>
      </c>
      <c r="D13" t="s">
        <v>17</v>
      </c>
      <c r="E13" t="s">
        <v>11</v>
      </c>
      <c r="F13">
        <v>10</v>
      </c>
      <c r="G13">
        <v>179.99</v>
      </c>
      <c r="H13">
        <v>95</v>
      </c>
      <c r="I13">
        <f t="shared" si="0"/>
        <v>1799.9</v>
      </c>
      <c r="J13">
        <f t="shared" si="1"/>
        <v>950</v>
      </c>
      <c r="K13">
        <f t="shared" si="2"/>
        <v>849.90000000000009</v>
      </c>
      <c r="L13" s="2">
        <f t="shared" si="3"/>
        <v>0.47219289960553368</v>
      </c>
      <c r="M13" t="str">
        <f t="shared" si="4"/>
        <v>Jan-2025</v>
      </c>
    </row>
    <row r="14" spans="1:13" x14ac:dyDescent="0.3">
      <c r="A14" s="1">
        <v>45670</v>
      </c>
      <c r="B14" t="s">
        <v>18</v>
      </c>
      <c r="C14" t="s">
        <v>19</v>
      </c>
      <c r="D14" t="s">
        <v>10</v>
      </c>
      <c r="E14" t="s">
        <v>11</v>
      </c>
      <c r="F14">
        <v>2</v>
      </c>
      <c r="G14">
        <v>599.99</v>
      </c>
      <c r="H14">
        <v>360</v>
      </c>
      <c r="I14">
        <f t="shared" si="0"/>
        <v>1199.98</v>
      </c>
      <c r="J14">
        <f t="shared" si="1"/>
        <v>720</v>
      </c>
      <c r="K14">
        <f t="shared" si="2"/>
        <v>479.98</v>
      </c>
      <c r="L14" s="2">
        <f t="shared" si="3"/>
        <v>0.39998999983333056</v>
      </c>
      <c r="M14" t="str">
        <f t="shared" si="4"/>
        <v>Jan-2025</v>
      </c>
    </row>
    <row r="15" spans="1:13" x14ac:dyDescent="0.3">
      <c r="A15" s="1">
        <v>45670</v>
      </c>
      <c r="B15" t="s">
        <v>15</v>
      </c>
      <c r="C15" t="s">
        <v>16</v>
      </c>
      <c r="D15" t="s">
        <v>30</v>
      </c>
      <c r="E15" t="s">
        <v>21</v>
      </c>
      <c r="F15">
        <v>23</v>
      </c>
      <c r="G15">
        <v>89.99</v>
      </c>
      <c r="H15">
        <v>42</v>
      </c>
      <c r="I15">
        <f t="shared" si="0"/>
        <v>2069.77</v>
      </c>
      <c r="J15">
        <f t="shared" si="1"/>
        <v>966</v>
      </c>
      <c r="K15">
        <f t="shared" si="2"/>
        <v>1103.77</v>
      </c>
      <c r="L15" s="2">
        <f t="shared" si="3"/>
        <v>0.53328147571952433</v>
      </c>
      <c r="M15" t="str">
        <f t="shared" si="4"/>
        <v>Jan-2025</v>
      </c>
    </row>
    <row r="16" spans="1:13" x14ac:dyDescent="0.3">
      <c r="A16" s="1">
        <v>45671</v>
      </c>
      <c r="B16" t="s">
        <v>15</v>
      </c>
      <c r="C16" t="s">
        <v>16</v>
      </c>
      <c r="D16" t="s">
        <v>10</v>
      </c>
      <c r="E16" t="s">
        <v>11</v>
      </c>
      <c r="F16">
        <v>2</v>
      </c>
      <c r="G16">
        <v>599.99</v>
      </c>
      <c r="H16">
        <v>360</v>
      </c>
      <c r="I16">
        <f t="shared" si="0"/>
        <v>1199.98</v>
      </c>
      <c r="J16">
        <f t="shared" si="1"/>
        <v>720</v>
      </c>
      <c r="K16">
        <f t="shared" si="2"/>
        <v>479.98</v>
      </c>
      <c r="L16" s="2">
        <f t="shared" si="3"/>
        <v>0.39998999983333056</v>
      </c>
      <c r="M16" t="str">
        <f t="shared" si="4"/>
        <v>Jan-2025</v>
      </c>
    </row>
    <row r="17" spans="1:13" x14ac:dyDescent="0.3">
      <c r="A17" s="1">
        <v>45672</v>
      </c>
      <c r="B17" t="s">
        <v>31</v>
      </c>
      <c r="C17" t="s">
        <v>32</v>
      </c>
      <c r="D17" t="s">
        <v>33</v>
      </c>
      <c r="E17" t="s">
        <v>25</v>
      </c>
      <c r="F17">
        <v>12</v>
      </c>
      <c r="G17">
        <v>119.99</v>
      </c>
      <c r="H17">
        <v>60</v>
      </c>
      <c r="I17">
        <f t="shared" si="0"/>
        <v>1439.8799999999999</v>
      </c>
      <c r="J17">
        <f t="shared" si="1"/>
        <v>720</v>
      </c>
      <c r="K17">
        <f t="shared" si="2"/>
        <v>719.87999999999988</v>
      </c>
      <c r="L17" s="2">
        <f t="shared" si="3"/>
        <v>0.49995832986082167</v>
      </c>
      <c r="M17" t="str">
        <f t="shared" si="4"/>
        <v>Jan-2025</v>
      </c>
    </row>
    <row r="18" spans="1:13" x14ac:dyDescent="0.3">
      <c r="A18" s="1">
        <v>45672</v>
      </c>
      <c r="B18" t="s">
        <v>27</v>
      </c>
      <c r="C18" t="s">
        <v>23</v>
      </c>
      <c r="D18" t="s">
        <v>30</v>
      </c>
      <c r="E18" t="s">
        <v>21</v>
      </c>
      <c r="F18">
        <v>37</v>
      </c>
      <c r="G18">
        <v>89.99</v>
      </c>
      <c r="H18">
        <v>42</v>
      </c>
      <c r="I18">
        <f t="shared" si="0"/>
        <v>3329.6299999999997</v>
      </c>
      <c r="J18">
        <f t="shared" si="1"/>
        <v>1554</v>
      </c>
      <c r="K18">
        <f t="shared" si="2"/>
        <v>1775.6299999999997</v>
      </c>
      <c r="L18" s="2">
        <f t="shared" si="3"/>
        <v>0.53328147571952433</v>
      </c>
      <c r="M18" t="str">
        <f t="shared" si="4"/>
        <v>Jan-2025</v>
      </c>
    </row>
    <row r="19" spans="1:13" x14ac:dyDescent="0.3">
      <c r="A19" s="1">
        <v>45673</v>
      </c>
      <c r="B19" t="s">
        <v>27</v>
      </c>
      <c r="C19" t="s">
        <v>23</v>
      </c>
      <c r="D19" t="s">
        <v>34</v>
      </c>
      <c r="E19" t="s">
        <v>11</v>
      </c>
      <c r="F19">
        <v>7</v>
      </c>
      <c r="G19">
        <v>299.99</v>
      </c>
      <c r="H19">
        <v>160</v>
      </c>
      <c r="I19">
        <f t="shared" si="0"/>
        <v>2099.9300000000003</v>
      </c>
      <c r="J19">
        <f t="shared" si="1"/>
        <v>1120</v>
      </c>
      <c r="K19">
        <f t="shared" si="2"/>
        <v>979.93000000000029</v>
      </c>
      <c r="L19" s="2">
        <f t="shared" si="3"/>
        <v>0.4666488882962766</v>
      </c>
      <c r="M19" t="str">
        <f t="shared" si="4"/>
        <v>Jan-2025</v>
      </c>
    </row>
    <row r="20" spans="1:13" x14ac:dyDescent="0.3">
      <c r="A20" s="1">
        <v>45674</v>
      </c>
      <c r="B20" t="s">
        <v>31</v>
      </c>
      <c r="C20" t="s">
        <v>32</v>
      </c>
      <c r="D20" t="s">
        <v>20</v>
      </c>
      <c r="E20" t="s">
        <v>21</v>
      </c>
      <c r="F20">
        <v>32</v>
      </c>
      <c r="G20">
        <v>24.99</v>
      </c>
      <c r="H20">
        <v>10</v>
      </c>
      <c r="I20">
        <f t="shared" si="0"/>
        <v>799.68</v>
      </c>
      <c r="J20">
        <f t="shared" si="1"/>
        <v>320</v>
      </c>
      <c r="K20">
        <f t="shared" si="2"/>
        <v>479.67999999999995</v>
      </c>
      <c r="L20" s="2">
        <f t="shared" si="3"/>
        <v>0.59983993597438978</v>
      </c>
      <c r="M20" t="str">
        <f t="shared" si="4"/>
        <v>Jan-2025</v>
      </c>
    </row>
    <row r="21" spans="1:13" x14ac:dyDescent="0.3">
      <c r="A21" s="1">
        <v>45675</v>
      </c>
      <c r="B21" t="s">
        <v>18</v>
      </c>
      <c r="C21" t="s">
        <v>19</v>
      </c>
      <c r="D21" t="s">
        <v>29</v>
      </c>
      <c r="E21" t="s">
        <v>14</v>
      </c>
      <c r="F21">
        <v>36</v>
      </c>
      <c r="G21">
        <v>49.99</v>
      </c>
      <c r="H21">
        <v>22</v>
      </c>
      <c r="I21">
        <f t="shared" si="0"/>
        <v>1799.64</v>
      </c>
      <c r="J21">
        <f t="shared" si="1"/>
        <v>792</v>
      </c>
      <c r="K21">
        <f t="shared" si="2"/>
        <v>1007.6400000000001</v>
      </c>
      <c r="L21" s="2">
        <f t="shared" si="3"/>
        <v>0.55991198239647932</v>
      </c>
      <c r="M21" t="str">
        <f t="shared" si="4"/>
        <v>Jan-2025</v>
      </c>
    </row>
    <row r="22" spans="1:13" x14ac:dyDescent="0.3">
      <c r="A22" s="1">
        <v>45677</v>
      </c>
      <c r="B22" t="s">
        <v>27</v>
      </c>
      <c r="C22" t="s">
        <v>23</v>
      </c>
      <c r="D22" t="s">
        <v>30</v>
      </c>
      <c r="E22" t="s">
        <v>21</v>
      </c>
      <c r="F22">
        <v>11</v>
      </c>
      <c r="G22">
        <v>89.99</v>
      </c>
      <c r="H22">
        <v>42</v>
      </c>
      <c r="I22">
        <f t="shared" si="0"/>
        <v>989.89</v>
      </c>
      <c r="J22">
        <f t="shared" si="1"/>
        <v>462</v>
      </c>
      <c r="K22">
        <f t="shared" si="2"/>
        <v>527.89</v>
      </c>
      <c r="L22" s="2">
        <f t="shared" si="3"/>
        <v>0.53328147571952433</v>
      </c>
      <c r="M22" t="str">
        <f t="shared" si="4"/>
        <v>Jan-2025</v>
      </c>
    </row>
    <row r="23" spans="1:13" x14ac:dyDescent="0.3">
      <c r="A23" s="1">
        <v>45678</v>
      </c>
      <c r="B23" t="s">
        <v>15</v>
      </c>
      <c r="C23" t="s">
        <v>16</v>
      </c>
      <c r="D23" t="s">
        <v>28</v>
      </c>
      <c r="E23" t="s">
        <v>21</v>
      </c>
      <c r="F23">
        <v>33</v>
      </c>
      <c r="G23">
        <v>79.989999999999995</v>
      </c>
      <c r="H23">
        <v>40</v>
      </c>
      <c r="I23">
        <f t="shared" si="0"/>
        <v>2639.6699999999996</v>
      </c>
      <c r="J23">
        <f t="shared" si="1"/>
        <v>1320</v>
      </c>
      <c r="K23">
        <f t="shared" si="2"/>
        <v>1319.6699999999996</v>
      </c>
      <c r="L23" s="2">
        <f t="shared" si="3"/>
        <v>0.49993749218652322</v>
      </c>
      <c r="M23" t="str">
        <f t="shared" si="4"/>
        <v>Jan-2025</v>
      </c>
    </row>
    <row r="24" spans="1:13" x14ac:dyDescent="0.3">
      <c r="A24" s="1">
        <v>45678</v>
      </c>
      <c r="B24" t="s">
        <v>15</v>
      </c>
      <c r="C24" t="s">
        <v>16</v>
      </c>
      <c r="D24" t="s">
        <v>26</v>
      </c>
      <c r="E24" t="s">
        <v>25</v>
      </c>
      <c r="F24">
        <v>1</v>
      </c>
      <c r="G24">
        <v>1250</v>
      </c>
      <c r="H24">
        <v>850</v>
      </c>
      <c r="I24">
        <f t="shared" si="0"/>
        <v>1250</v>
      </c>
      <c r="J24">
        <f t="shared" si="1"/>
        <v>850</v>
      </c>
      <c r="K24">
        <f t="shared" si="2"/>
        <v>400</v>
      </c>
      <c r="L24" s="2">
        <f t="shared" si="3"/>
        <v>0.32</v>
      </c>
      <c r="M24" t="str">
        <f t="shared" si="4"/>
        <v>Jan-2025</v>
      </c>
    </row>
    <row r="25" spans="1:13" x14ac:dyDescent="0.3">
      <c r="A25" s="1">
        <v>45679</v>
      </c>
      <c r="B25" t="s">
        <v>22</v>
      </c>
      <c r="C25" t="s">
        <v>23</v>
      </c>
      <c r="D25" t="s">
        <v>17</v>
      </c>
      <c r="E25" t="s">
        <v>11</v>
      </c>
      <c r="F25">
        <v>9</v>
      </c>
      <c r="G25">
        <v>179.99</v>
      </c>
      <c r="H25">
        <v>95</v>
      </c>
      <c r="I25">
        <f t="shared" si="0"/>
        <v>1619.91</v>
      </c>
      <c r="J25">
        <f t="shared" si="1"/>
        <v>855</v>
      </c>
      <c r="K25">
        <f t="shared" si="2"/>
        <v>764.91000000000008</v>
      </c>
      <c r="L25" s="2">
        <f t="shared" si="3"/>
        <v>0.47219289960553368</v>
      </c>
      <c r="M25" t="str">
        <f t="shared" si="4"/>
        <v>Jan-2025</v>
      </c>
    </row>
    <row r="26" spans="1:13" x14ac:dyDescent="0.3">
      <c r="A26" s="1">
        <v>45679</v>
      </c>
      <c r="B26" t="s">
        <v>12</v>
      </c>
      <c r="C26" t="s">
        <v>9</v>
      </c>
      <c r="D26" t="s">
        <v>35</v>
      </c>
      <c r="E26" t="s">
        <v>25</v>
      </c>
      <c r="F26">
        <v>7</v>
      </c>
      <c r="G26">
        <v>349.99</v>
      </c>
      <c r="H26">
        <v>210</v>
      </c>
      <c r="I26">
        <f t="shared" si="0"/>
        <v>2449.9300000000003</v>
      </c>
      <c r="J26">
        <f t="shared" si="1"/>
        <v>1470</v>
      </c>
      <c r="K26">
        <f t="shared" si="2"/>
        <v>979.93000000000029</v>
      </c>
      <c r="L26" s="2">
        <f t="shared" si="3"/>
        <v>0.39998285665304728</v>
      </c>
      <c r="M26" t="str">
        <f t="shared" si="4"/>
        <v>Jan-2025</v>
      </c>
    </row>
    <row r="27" spans="1:13" x14ac:dyDescent="0.3">
      <c r="A27" s="1">
        <v>45680</v>
      </c>
      <c r="B27" t="s">
        <v>27</v>
      </c>
      <c r="C27" t="s">
        <v>23</v>
      </c>
      <c r="D27" t="s">
        <v>26</v>
      </c>
      <c r="E27" t="s">
        <v>25</v>
      </c>
      <c r="F27">
        <v>3</v>
      </c>
      <c r="G27">
        <v>1250</v>
      </c>
      <c r="H27">
        <v>850</v>
      </c>
      <c r="I27">
        <f t="shared" si="0"/>
        <v>3750</v>
      </c>
      <c r="J27">
        <f t="shared" si="1"/>
        <v>2550</v>
      </c>
      <c r="K27">
        <f t="shared" si="2"/>
        <v>1200</v>
      </c>
      <c r="L27" s="2">
        <f t="shared" si="3"/>
        <v>0.32</v>
      </c>
      <c r="M27" t="str">
        <f t="shared" si="4"/>
        <v>Jan-2025</v>
      </c>
    </row>
    <row r="28" spans="1:13" x14ac:dyDescent="0.3">
      <c r="A28" s="1">
        <v>45683</v>
      </c>
      <c r="B28" t="s">
        <v>18</v>
      </c>
      <c r="C28" t="s">
        <v>19</v>
      </c>
      <c r="D28" t="s">
        <v>34</v>
      </c>
      <c r="E28" t="s">
        <v>11</v>
      </c>
      <c r="F28">
        <v>8</v>
      </c>
      <c r="G28">
        <v>299.99</v>
      </c>
      <c r="H28">
        <v>160</v>
      </c>
      <c r="I28">
        <f t="shared" si="0"/>
        <v>2399.92</v>
      </c>
      <c r="J28">
        <f t="shared" si="1"/>
        <v>1280</v>
      </c>
      <c r="K28">
        <f t="shared" si="2"/>
        <v>1119.92</v>
      </c>
      <c r="L28" s="2">
        <f t="shared" si="3"/>
        <v>0.46664888829627654</v>
      </c>
      <c r="M28" t="str">
        <f t="shared" si="4"/>
        <v>Jan-2025</v>
      </c>
    </row>
    <row r="29" spans="1:13" x14ac:dyDescent="0.3">
      <c r="A29" s="1">
        <v>45684</v>
      </c>
      <c r="B29" t="s">
        <v>31</v>
      </c>
      <c r="C29" t="s">
        <v>32</v>
      </c>
      <c r="D29" t="s">
        <v>26</v>
      </c>
      <c r="E29" t="s">
        <v>25</v>
      </c>
      <c r="F29">
        <v>3</v>
      </c>
      <c r="G29">
        <v>1250</v>
      </c>
      <c r="H29">
        <v>850</v>
      </c>
      <c r="I29">
        <f t="shared" si="0"/>
        <v>3750</v>
      </c>
      <c r="J29">
        <f t="shared" si="1"/>
        <v>2550</v>
      </c>
      <c r="K29">
        <f t="shared" si="2"/>
        <v>1200</v>
      </c>
      <c r="L29" s="2">
        <f t="shared" si="3"/>
        <v>0.32</v>
      </c>
      <c r="M29" t="str">
        <f t="shared" si="4"/>
        <v>Jan-2025</v>
      </c>
    </row>
    <row r="30" spans="1:13" x14ac:dyDescent="0.3">
      <c r="A30" s="1">
        <v>45685</v>
      </c>
      <c r="B30" t="s">
        <v>31</v>
      </c>
      <c r="C30" t="s">
        <v>32</v>
      </c>
      <c r="D30" t="s">
        <v>36</v>
      </c>
      <c r="E30" t="s">
        <v>25</v>
      </c>
      <c r="F30">
        <v>12</v>
      </c>
      <c r="G30">
        <v>89.99</v>
      </c>
      <c r="H30">
        <v>45</v>
      </c>
      <c r="I30">
        <f t="shared" si="0"/>
        <v>1079.8799999999999</v>
      </c>
      <c r="J30">
        <f t="shared" si="1"/>
        <v>540</v>
      </c>
      <c r="K30">
        <f t="shared" si="2"/>
        <v>539.87999999999988</v>
      </c>
      <c r="L30" s="2">
        <f t="shared" si="3"/>
        <v>0.49994443827091894</v>
      </c>
      <c r="M30" t="str">
        <f t="shared" si="4"/>
        <v>Jan-2025</v>
      </c>
    </row>
    <row r="31" spans="1:13" x14ac:dyDescent="0.3">
      <c r="A31" s="1">
        <v>45685</v>
      </c>
      <c r="B31" t="s">
        <v>18</v>
      </c>
      <c r="C31" t="s">
        <v>19</v>
      </c>
      <c r="D31" t="s">
        <v>28</v>
      </c>
      <c r="E31" t="s">
        <v>21</v>
      </c>
      <c r="F31">
        <v>41</v>
      </c>
      <c r="G31">
        <v>79.989999999999995</v>
      </c>
      <c r="H31">
        <v>40</v>
      </c>
      <c r="I31">
        <f t="shared" si="0"/>
        <v>3279.5899999999997</v>
      </c>
      <c r="J31">
        <f t="shared" si="1"/>
        <v>1640</v>
      </c>
      <c r="K31">
        <f t="shared" si="2"/>
        <v>1639.5899999999997</v>
      </c>
      <c r="L31" s="2">
        <f t="shared" si="3"/>
        <v>0.49993749218652328</v>
      </c>
      <c r="M31" t="str">
        <f t="shared" si="4"/>
        <v>Jan-2025</v>
      </c>
    </row>
    <row r="32" spans="1:13" x14ac:dyDescent="0.3">
      <c r="A32" s="1">
        <v>45686</v>
      </c>
      <c r="B32" t="s">
        <v>8</v>
      </c>
      <c r="C32" t="s">
        <v>9</v>
      </c>
      <c r="D32" t="s">
        <v>35</v>
      </c>
      <c r="E32" t="s">
        <v>25</v>
      </c>
      <c r="F32">
        <v>3</v>
      </c>
      <c r="G32">
        <v>349.99</v>
      </c>
      <c r="H32">
        <v>210</v>
      </c>
      <c r="I32">
        <f t="shared" si="0"/>
        <v>1049.97</v>
      </c>
      <c r="J32">
        <f t="shared" si="1"/>
        <v>630</v>
      </c>
      <c r="K32">
        <f t="shared" si="2"/>
        <v>419.97</v>
      </c>
      <c r="L32" s="2">
        <f t="shared" si="3"/>
        <v>0.39998285665304723</v>
      </c>
      <c r="M32" t="str">
        <f t="shared" si="4"/>
        <v>Jan-2025</v>
      </c>
    </row>
    <row r="33" spans="1:13" x14ac:dyDescent="0.3">
      <c r="A33" s="1">
        <v>45690</v>
      </c>
      <c r="B33" t="s">
        <v>37</v>
      </c>
      <c r="C33" t="s">
        <v>16</v>
      </c>
      <c r="D33" t="s">
        <v>30</v>
      </c>
      <c r="E33" t="s">
        <v>21</v>
      </c>
      <c r="F33">
        <v>37</v>
      </c>
      <c r="G33">
        <v>89.99</v>
      </c>
      <c r="H33">
        <v>42</v>
      </c>
      <c r="I33">
        <f t="shared" si="0"/>
        <v>3329.6299999999997</v>
      </c>
      <c r="J33">
        <f t="shared" si="1"/>
        <v>1554</v>
      </c>
      <c r="K33">
        <f t="shared" si="2"/>
        <v>1775.6299999999997</v>
      </c>
      <c r="L33" s="2">
        <f t="shared" si="3"/>
        <v>0.53328147571952433</v>
      </c>
      <c r="M33" t="str">
        <f t="shared" si="4"/>
        <v>Feb-2025</v>
      </c>
    </row>
    <row r="34" spans="1:13" x14ac:dyDescent="0.3">
      <c r="A34" s="1">
        <v>45690</v>
      </c>
      <c r="B34" t="s">
        <v>12</v>
      </c>
      <c r="C34" t="s">
        <v>9</v>
      </c>
      <c r="D34" t="s">
        <v>30</v>
      </c>
      <c r="E34" t="s">
        <v>21</v>
      </c>
      <c r="F34">
        <v>32</v>
      </c>
      <c r="G34">
        <v>89.99</v>
      </c>
      <c r="H34">
        <v>42</v>
      </c>
      <c r="I34">
        <f t="shared" si="0"/>
        <v>2879.68</v>
      </c>
      <c r="J34">
        <f t="shared" si="1"/>
        <v>1344</v>
      </c>
      <c r="K34">
        <f t="shared" si="2"/>
        <v>1535.6799999999998</v>
      </c>
      <c r="L34" s="2">
        <f t="shared" si="3"/>
        <v>0.53328147571952433</v>
      </c>
      <c r="M34" t="str">
        <f t="shared" si="4"/>
        <v>Feb-2025</v>
      </c>
    </row>
    <row r="35" spans="1:13" x14ac:dyDescent="0.3">
      <c r="A35" s="1">
        <v>45692</v>
      </c>
      <c r="B35" t="s">
        <v>31</v>
      </c>
      <c r="C35" t="s">
        <v>32</v>
      </c>
      <c r="D35" t="s">
        <v>30</v>
      </c>
      <c r="E35" t="s">
        <v>21</v>
      </c>
      <c r="F35">
        <v>12</v>
      </c>
      <c r="G35">
        <v>89.99</v>
      </c>
      <c r="H35">
        <v>42</v>
      </c>
      <c r="I35">
        <f t="shared" si="0"/>
        <v>1079.8799999999999</v>
      </c>
      <c r="J35">
        <f t="shared" si="1"/>
        <v>504</v>
      </c>
      <c r="K35">
        <f t="shared" si="2"/>
        <v>575.87999999999988</v>
      </c>
      <c r="L35" s="2">
        <f t="shared" si="3"/>
        <v>0.53328147571952433</v>
      </c>
      <c r="M35" t="str">
        <f t="shared" si="4"/>
        <v>Feb-2025</v>
      </c>
    </row>
    <row r="36" spans="1:13" x14ac:dyDescent="0.3">
      <c r="A36" s="1">
        <v>45692</v>
      </c>
      <c r="B36" t="s">
        <v>27</v>
      </c>
      <c r="C36" t="s">
        <v>23</v>
      </c>
      <c r="D36" t="s">
        <v>34</v>
      </c>
      <c r="E36" t="s">
        <v>11</v>
      </c>
      <c r="F36">
        <v>2</v>
      </c>
      <c r="G36">
        <v>299.99</v>
      </c>
      <c r="H36">
        <v>160</v>
      </c>
      <c r="I36">
        <f t="shared" si="0"/>
        <v>599.98</v>
      </c>
      <c r="J36">
        <f t="shared" si="1"/>
        <v>320</v>
      </c>
      <c r="K36">
        <f t="shared" si="2"/>
        <v>279.98</v>
      </c>
      <c r="L36" s="2">
        <f t="shared" si="3"/>
        <v>0.46664888829627654</v>
      </c>
      <c r="M36" t="str">
        <f t="shared" si="4"/>
        <v>Feb-2025</v>
      </c>
    </row>
    <row r="37" spans="1:13" x14ac:dyDescent="0.3">
      <c r="A37" s="1">
        <v>45692</v>
      </c>
      <c r="B37" t="s">
        <v>12</v>
      </c>
      <c r="C37" t="s">
        <v>9</v>
      </c>
      <c r="D37" t="s">
        <v>33</v>
      </c>
      <c r="E37" t="s">
        <v>25</v>
      </c>
      <c r="F37">
        <v>3</v>
      </c>
      <c r="G37">
        <v>119.99</v>
      </c>
      <c r="H37">
        <v>60</v>
      </c>
      <c r="I37">
        <f t="shared" si="0"/>
        <v>359.96999999999997</v>
      </c>
      <c r="J37">
        <f t="shared" si="1"/>
        <v>180</v>
      </c>
      <c r="K37">
        <f t="shared" si="2"/>
        <v>179.96999999999997</v>
      </c>
      <c r="L37" s="2">
        <f t="shared" si="3"/>
        <v>0.49995832986082167</v>
      </c>
      <c r="M37" t="str">
        <f t="shared" si="4"/>
        <v>Feb-2025</v>
      </c>
    </row>
    <row r="38" spans="1:13" x14ac:dyDescent="0.3">
      <c r="A38" s="1">
        <v>45693</v>
      </c>
      <c r="B38" t="s">
        <v>27</v>
      </c>
      <c r="C38" t="s">
        <v>23</v>
      </c>
      <c r="D38" t="s">
        <v>20</v>
      </c>
      <c r="E38" t="s">
        <v>21</v>
      </c>
      <c r="F38">
        <v>36</v>
      </c>
      <c r="G38">
        <v>24.99</v>
      </c>
      <c r="H38">
        <v>10</v>
      </c>
      <c r="I38">
        <f t="shared" si="0"/>
        <v>899.64</v>
      </c>
      <c r="J38">
        <f t="shared" si="1"/>
        <v>360</v>
      </c>
      <c r="K38">
        <f t="shared" si="2"/>
        <v>539.64</v>
      </c>
      <c r="L38" s="2">
        <f t="shared" si="3"/>
        <v>0.59983993597438978</v>
      </c>
      <c r="M38" t="str">
        <f t="shared" si="4"/>
        <v>Feb-2025</v>
      </c>
    </row>
    <row r="39" spans="1:13" x14ac:dyDescent="0.3">
      <c r="A39" s="1">
        <v>45693</v>
      </c>
      <c r="B39" t="s">
        <v>8</v>
      </c>
      <c r="C39" t="s">
        <v>9</v>
      </c>
      <c r="D39" t="s">
        <v>17</v>
      </c>
      <c r="E39" t="s">
        <v>11</v>
      </c>
      <c r="F39">
        <v>8</v>
      </c>
      <c r="G39">
        <v>179.99</v>
      </c>
      <c r="H39">
        <v>95</v>
      </c>
      <c r="I39">
        <f t="shared" si="0"/>
        <v>1439.92</v>
      </c>
      <c r="J39">
        <f t="shared" si="1"/>
        <v>760</v>
      </c>
      <c r="K39">
        <f t="shared" si="2"/>
        <v>679.92000000000007</v>
      </c>
      <c r="L39" s="2">
        <f t="shared" si="3"/>
        <v>0.47219289960553368</v>
      </c>
      <c r="M39" t="str">
        <f t="shared" si="4"/>
        <v>Feb-2025</v>
      </c>
    </row>
    <row r="40" spans="1:13" x14ac:dyDescent="0.3">
      <c r="A40" s="1">
        <v>45694</v>
      </c>
      <c r="B40" t="s">
        <v>15</v>
      </c>
      <c r="C40" t="s">
        <v>16</v>
      </c>
      <c r="D40" t="s">
        <v>13</v>
      </c>
      <c r="E40" t="s">
        <v>14</v>
      </c>
      <c r="F40">
        <v>18</v>
      </c>
      <c r="G40">
        <v>34.99</v>
      </c>
      <c r="H40">
        <v>14</v>
      </c>
      <c r="I40">
        <f t="shared" si="0"/>
        <v>629.82000000000005</v>
      </c>
      <c r="J40">
        <f t="shared" si="1"/>
        <v>252</v>
      </c>
      <c r="K40">
        <f t="shared" si="2"/>
        <v>377.82000000000005</v>
      </c>
      <c r="L40" s="2">
        <f t="shared" si="3"/>
        <v>0.59988568162332101</v>
      </c>
      <c r="M40" t="str">
        <f t="shared" si="4"/>
        <v>Feb-2025</v>
      </c>
    </row>
    <row r="41" spans="1:13" x14ac:dyDescent="0.3">
      <c r="A41" s="1">
        <v>45694</v>
      </c>
      <c r="B41" t="s">
        <v>12</v>
      </c>
      <c r="C41" t="s">
        <v>9</v>
      </c>
      <c r="D41" t="s">
        <v>38</v>
      </c>
      <c r="E41" t="s">
        <v>11</v>
      </c>
      <c r="F41">
        <v>3</v>
      </c>
      <c r="G41">
        <v>850</v>
      </c>
      <c r="H41">
        <v>520</v>
      </c>
      <c r="I41">
        <f t="shared" si="0"/>
        <v>2550</v>
      </c>
      <c r="J41">
        <f t="shared" si="1"/>
        <v>1560</v>
      </c>
      <c r="K41">
        <f t="shared" si="2"/>
        <v>990</v>
      </c>
      <c r="L41" s="2">
        <f t="shared" si="3"/>
        <v>0.38823529411764707</v>
      </c>
      <c r="M41" t="str">
        <f t="shared" si="4"/>
        <v>Feb-2025</v>
      </c>
    </row>
    <row r="42" spans="1:13" x14ac:dyDescent="0.3">
      <c r="A42" s="1">
        <v>45695</v>
      </c>
      <c r="B42" t="s">
        <v>22</v>
      </c>
      <c r="C42" t="s">
        <v>23</v>
      </c>
      <c r="D42" t="s">
        <v>20</v>
      </c>
      <c r="E42" t="s">
        <v>21</v>
      </c>
      <c r="F42">
        <v>20</v>
      </c>
      <c r="G42">
        <v>24.99</v>
      </c>
      <c r="H42">
        <v>10</v>
      </c>
      <c r="I42">
        <f t="shared" si="0"/>
        <v>499.79999999999995</v>
      </c>
      <c r="J42">
        <f t="shared" si="1"/>
        <v>200</v>
      </c>
      <c r="K42">
        <f t="shared" si="2"/>
        <v>299.79999999999995</v>
      </c>
      <c r="L42" s="2">
        <f t="shared" si="3"/>
        <v>0.59983993597438967</v>
      </c>
      <c r="M42" t="str">
        <f t="shared" si="4"/>
        <v>Feb-2025</v>
      </c>
    </row>
    <row r="43" spans="1:13" x14ac:dyDescent="0.3">
      <c r="A43" s="1">
        <v>45696</v>
      </c>
      <c r="B43" t="s">
        <v>31</v>
      </c>
      <c r="C43" t="s">
        <v>32</v>
      </c>
      <c r="D43" t="s">
        <v>34</v>
      </c>
      <c r="E43" t="s">
        <v>11</v>
      </c>
      <c r="F43">
        <v>4</v>
      </c>
      <c r="G43">
        <v>299.99</v>
      </c>
      <c r="H43">
        <v>160</v>
      </c>
      <c r="I43">
        <f t="shared" si="0"/>
        <v>1199.96</v>
      </c>
      <c r="J43">
        <f t="shared" si="1"/>
        <v>640</v>
      </c>
      <c r="K43">
        <f t="shared" si="2"/>
        <v>559.96</v>
      </c>
      <c r="L43" s="2">
        <f t="shared" si="3"/>
        <v>0.46664888829627654</v>
      </c>
      <c r="M43" t="str">
        <f t="shared" si="4"/>
        <v>Feb-2025</v>
      </c>
    </row>
    <row r="44" spans="1:13" x14ac:dyDescent="0.3">
      <c r="A44" s="1">
        <v>45696</v>
      </c>
      <c r="B44" t="s">
        <v>12</v>
      </c>
      <c r="C44" t="s">
        <v>9</v>
      </c>
      <c r="D44" t="s">
        <v>24</v>
      </c>
      <c r="E44" t="s">
        <v>25</v>
      </c>
      <c r="F44">
        <v>41</v>
      </c>
      <c r="G44">
        <v>29.99</v>
      </c>
      <c r="H44">
        <v>12</v>
      </c>
      <c r="I44">
        <f t="shared" si="0"/>
        <v>1229.5899999999999</v>
      </c>
      <c r="J44">
        <f t="shared" si="1"/>
        <v>492</v>
      </c>
      <c r="K44">
        <f t="shared" si="2"/>
        <v>737.58999999999992</v>
      </c>
      <c r="L44" s="2">
        <f t="shared" si="3"/>
        <v>0.59986662220740239</v>
      </c>
      <c r="M44" t="str">
        <f t="shared" si="4"/>
        <v>Feb-2025</v>
      </c>
    </row>
    <row r="45" spans="1:13" x14ac:dyDescent="0.3">
      <c r="A45" s="1">
        <v>45696</v>
      </c>
      <c r="B45" t="s">
        <v>12</v>
      </c>
      <c r="C45" t="s">
        <v>9</v>
      </c>
      <c r="D45" t="s">
        <v>28</v>
      </c>
      <c r="E45" t="s">
        <v>21</v>
      </c>
      <c r="F45">
        <v>25</v>
      </c>
      <c r="G45">
        <v>79.989999999999995</v>
      </c>
      <c r="H45">
        <v>40</v>
      </c>
      <c r="I45">
        <f t="shared" si="0"/>
        <v>1999.7499999999998</v>
      </c>
      <c r="J45">
        <f t="shared" si="1"/>
        <v>1000</v>
      </c>
      <c r="K45">
        <f t="shared" si="2"/>
        <v>999.74999999999977</v>
      </c>
      <c r="L45" s="2">
        <f t="shared" si="3"/>
        <v>0.49993749218652328</v>
      </c>
      <c r="M45" t="str">
        <f t="shared" si="4"/>
        <v>Feb-2025</v>
      </c>
    </row>
    <row r="46" spans="1:13" x14ac:dyDescent="0.3">
      <c r="A46" s="1">
        <v>45698</v>
      </c>
      <c r="B46" t="s">
        <v>12</v>
      </c>
      <c r="C46" t="s">
        <v>9</v>
      </c>
      <c r="D46" t="s">
        <v>17</v>
      </c>
      <c r="E46" t="s">
        <v>11</v>
      </c>
      <c r="F46">
        <v>14</v>
      </c>
      <c r="G46">
        <v>179.99</v>
      </c>
      <c r="H46">
        <v>95</v>
      </c>
      <c r="I46">
        <f t="shared" si="0"/>
        <v>2519.86</v>
      </c>
      <c r="J46">
        <f t="shared" si="1"/>
        <v>1330</v>
      </c>
      <c r="K46">
        <f t="shared" si="2"/>
        <v>1189.8600000000001</v>
      </c>
      <c r="L46" s="2">
        <f t="shared" si="3"/>
        <v>0.47219289960553368</v>
      </c>
      <c r="M46" t="str">
        <f t="shared" si="4"/>
        <v>Feb-2025</v>
      </c>
    </row>
    <row r="47" spans="1:13" x14ac:dyDescent="0.3">
      <c r="A47" s="1">
        <v>45698</v>
      </c>
      <c r="B47" t="s">
        <v>37</v>
      </c>
      <c r="C47" t="s">
        <v>16</v>
      </c>
      <c r="D47" t="s">
        <v>20</v>
      </c>
      <c r="E47" t="s">
        <v>21</v>
      </c>
      <c r="F47">
        <v>35</v>
      </c>
      <c r="G47">
        <v>24.99</v>
      </c>
      <c r="H47">
        <v>10</v>
      </c>
      <c r="I47">
        <f t="shared" si="0"/>
        <v>874.65</v>
      </c>
      <c r="J47">
        <f t="shared" si="1"/>
        <v>350</v>
      </c>
      <c r="K47">
        <f t="shared" si="2"/>
        <v>524.65</v>
      </c>
      <c r="L47" s="2">
        <f t="shared" si="3"/>
        <v>0.59983993597438978</v>
      </c>
      <c r="M47" t="str">
        <f t="shared" si="4"/>
        <v>Feb-2025</v>
      </c>
    </row>
    <row r="48" spans="1:13" x14ac:dyDescent="0.3">
      <c r="A48" s="1">
        <v>45699</v>
      </c>
      <c r="B48" t="s">
        <v>12</v>
      </c>
      <c r="C48" t="s">
        <v>9</v>
      </c>
      <c r="D48" t="s">
        <v>29</v>
      </c>
      <c r="E48" t="s">
        <v>14</v>
      </c>
      <c r="F48">
        <v>22</v>
      </c>
      <c r="G48">
        <v>49.99</v>
      </c>
      <c r="H48">
        <v>22</v>
      </c>
      <c r="I48">
        <f t="shared" si="0"/>
        <v>1099.78</v>
      </c>
      <c r="J48">
        <f t="shared" si="1"/>
        <v>484</v>
      </c>
      <c r="K48">
        <f t="shared" si="2"/>
        <v>615.78</v>
      </c>
      <c r="L48" s="2">
        <f t="shared" si="3"/>
        <v>0.55991198239647932</v>
      </c>
      <c r="M48" t="str">
        <f t="shared" si="4"/>
        <v>Feb-2025</v>
      </c>
    </row>
    <row r="49" spans="1:13" x14ac:dyDescent="0.3">
      <c r="A49" s="1">
        <v>45701</v>
      </c>
      <c r="B49" t="s">
        <v>27</v>
      </c>
      <c r="C49" t="s">
        <v>23</v>
      </c>
      <c r="D49" t="s">
        <v>34</v>
      </c>
      <c r="E49" t="s">
        <v>11</v>
      </c>
      <c r="F49">
        <v>7</v>
      </c>
      <c r="G49">
        <v>299.99</v>
      </c>
      <c r="H49">
        <v>160</v>
      </c>
      <c r="I49">
        <f t="shared" si="0"/>
        <v>2099.9300000000003</v>
      </c>
      <c r="J49">
        <f t="shared" si="1"/>
        <v>1120</v>
      </c>
      <c r="K49">
        <f t="shared" si="2"/>
        <v>979.93000000000029</v>
      </c>
      <c r="L49" s="2">
        <f t="shared" si="3"/>
        <v>0.4666488882962766</v>
      </c>
      <c r="M49" t="str">
        <f t="shared" si="4"/>
        <v>Feb-2025</v>
      </c>
    </row>
    <row r="50" spans="1:13" x14ac:dyDescent="0.3">
      <c r="A50" s="1">
        <v>45701</v>
      </c>
      <c r="B50" t="s">
        <v>15</v>
      </c>
      <c r="C50" t="s">
        <v>16</v>
      </c>
      <c r="D50" t="s">
        <v>36</v>
      </c>
      <c r="E50" t="s">
        <v>25</v>
      </c>
      <c r="F50">
        <v>14</v>
      </c>
      <c r="G50">
        <v>89.99</v>
      </c>
      <c r="H50">
        <v>45</v>
      </c>
      <c r="I50">
        <f t="shared" si="0"/>
        <v>1259.8599999999999</v>
      </c>
      <c r="J50">
        <f t="shared" si="1"/>
        <v>630</v>
      </c>
      <c r="K50">
        <f t="shared" si="2"/>
        <v>629.8599999999999</v>
      </c>
      <c r="L50" s="2">
        <f t="shared" si="3"/>
        <v>0.49994443827091894</v>
      </c>
      <c r="M50" t="str">
        <f t="shared" si="4"/>
        <v>Feb-2025</v>
      </c>
    </row>
    <row r="51" spans="1:13" x14ac:dyDescent="0.3">
      <c r="A51" s="1">
        <v>45702</v>
      </c>
      <c r="B51" t="s">
        <v>8</v>
      </c>
      <c r="C51" t="s">
        <v>9</v>
      </c>
      <c r="D51" t="s">
        <v>38</v>
      </c>
      <c r="E51" t="s">
        <v>11</v>
      </c>
      <c r="F51">
        <v>1</v>
      </c>
      <c r="G51">
        <v>850</v>
      </c>
      <c r="H51">
        <v>520</v>
      </c>
      <c r="I51">
        <f t="shared" si="0"/>
        <v>850</v>
      </c>
      <c r="J51">
        <f t="shared" si="1"/>
        <v>520</v>
      </c>
      <c r="K51">
        <f t="shared" si="2"/>
        <v>330</v>
      </c>
      <c r="L51" s="2">
        <f t="shared" si="3"/>
        <v>0.38823529411764707</v>
      </c>
      <c r="M51" t="str">
        <f t="shared" si="4"/>
        <v>Feb-2025</v>
      </c>
    </row>
    <row r="52" spans="1:13" x14ac:dyDescent="0.3">
      <c r="A52" s="1">
        <v>45703</v>
      </c>
      <c r="B52" t="s">
        <v>18</v>
      </c>
      <c r="C52" t="s">
        <v>19</v>
      </c>
      <c r="D52" t="s">
        <v>36</v>
      </c>
      <c r="E52" t="s">
        <v>25</v>
      </c>
      <c r="F52">
        <v>27</v>
      </c>
      <c r="G52">
        <v>89.99</v>
      </c>
      <c r="H52">
        <v>45</v>
      </c>
      <c r="I52">
        <f t="shared" si="0"/>
        <v>2429.73</v>
      </c>
      <c r="J52">
        <f t="shared" si="1"/>
        <v>1215</v>
      </c>
      <c r="K52">
        <f t="shared" si="2"/>
        <v>1214.73</v>
      </c>
      <c r="L52" s="2">
        <f t="shared" si="3"/>
        <v>0.499944438270919</v>
      </c>
      <c r="M52" t="str">
        <f t="shared" si="4"/>
        <v>Feb-2025</v>
      </c>
    </row>
    <row r="53" spans="1:13" x14ac:dyDescent="0.3">
      <c r="A53" s="1">
        <v>45704</v>
      </c>
      <c r="B53" t="s">
        <v>12</v>
      </c>
      <c r="C53" t="s">
        <v>9</v>
      </c>
      <c r="D53" t="s">
        <v>30</v>
      </c>
      <c r="E53" t="s">
        <v>21</v>
      </c>
      <c r="F53">
        <v>25</v>
      </c>
      <c r="G53">
        <v>89.99</v>
      </c>
      <c r="H53">
        <v>42</v>
      </c>
      <c r="I53">
        <f t="shared" si="0"/>
        <v>2249.75</v>
      </c>
      <c r="J53">
        <f t="shared" si="1"/>
        <v>1050</v>
      </c>
      <c r="K53">
        <f t="shared" si="2"/>
        <v>1199.75</v>
      </c>
      <c r="L53" s="2">
        <f t="shared" si="3"/>
        <v>0.53328147571952444</v>
      </c>
      <c r="M53" t="str">
        <f t="shared" si="4"/>
        <v>Feb-2025</v>
      </c>
    </row>
    <row r="54" spans="1:13" x14ac:dyDescent="0.3">
      <c r="A54" s="1">
        <v>45704</v>
      </c>
      <c r="B54" t="s">
        <v>31</v>
      </c>
      <c r="C54" t="s">
        <v>32</v>
      </c>
      <c r="D54" t="s">
        <v>38</v>
      </c>
      <c r="E54" t="s">
        <v>11</v>
      </c>
      <c r="F54">
        <v>3</v>
      </c>
      <c r="G54">
        <v>850</v>
      </c>
      <c r="H54">
        <v>520</v>
      </c>
      <c r="I54">
        <f t="shared" si="0"/>
        <v>2550</v>
      </c>
      <c r="J54">
        <f t="shared" si="1"/>
        <v>1560</v>
      </c>
      <c r="K54">
        <f t="shared" si="2"/>
        <v>990</v>
      </c>
      <c r="L54" s="2">
        <f t="shared" si="3"/>
        <v>0.38823529411764707</v>
      </c>
      <c r="M54" t="str">
        <f t="shared" si="4"/>
        <v>Feb-2025</v>
      </c>
    </row>
    <row r="55" spans="1:13" x14ac:dyDescent="0.3">
      <c r="A55" s="1">
        <v>45705</v>
      </c>
      <c r="B55" t="s">
        <v>12</v>
      </c>
      <c r="C55" t="s">
        <v>9</v>
      </c>
      <c r="D55" t="s">
        <v>20</v>
      </c>
      <c r="E55" t="s">
        <v>21</v>
      </c>
      <c r="F55">
        <v>23</v>
      </c>
      <c r="G55">
        <v>24.99</v>
      </c>
      <c r="H55">
        <v>10</v>
      </c>
      <c r="I55">
        <f t="shared" si="0"/>
        <v>574.77</v>
      </c>
      <c r="J55">
        <f t="shared" si="1"/>
        <v>230</v>
      </c>
      <c r="K55">
        <f t="shared" si="2"/>
        <v>344.77</v>
      </c>
      <c r="L55" s="2">
        <f t="shared" si="3"/>
        <v>0.59983993597438978</v>
      </c>
      <c r="M55" t="str">
        <f t="shared" si="4"/>
        <v>Feb-2025</v>
      </c>
    </row>
    <row r="56" spans="1:13" x14ac:dyDescent="0.3">
      <c r="A56" s="1">
        <v>45705</v>
      </c>
      <c r="B56" t="s">
        <v>31</v>
      </c>
      <c r="C56" t="s">
        <v>32</v>
      </c>
      <c r="D56" t="s">
        <v>29</v>
      </c>
      <c r="E56" t="s">
        <v>14</v>
      </c>
      <c r="F56">
        <v>40</v>
      </c>
      <c r="G56">
        <v>49.99</v>
      </c>
      <c r="H56">
        <v>22</v>
      </c>
      <c r="I56">
        <f t="shared" si="0"/>
        <v>1999.6000000000001</v>
      </c>
      <c r="J56">
        <f t="shared" si="1"/>
        <v>880</v>
      </c>
      <c r="K56">
        <f t="shared" si="2"/>
        <v>1119.6000000000001</v>
      </c>
      <c r="L56" s="2">
        <f t="shared" si="3"/>
        <v>0.55991198239647932</v>
      </c>
      <c r="M56" t="str">
        <f t="shared" si="4"/>
        <v>Feb-2025</v>
      </c>
    </row>
    <row r="57" spans="1:13" x14ac:dyDescent="0.3">
      <c r="A57" s="1">
        <v>45706</v>
      </c>
      <c r="B57" t="s">
        <v>27</v>
      </c>
      <c r="C57" t="s">
        <v>23</v>
      </c>
      <c r="D57" t="s">
        <v>30</v>
      </c>
      <c r="E57" t="s">
        <v>21</v>
      </c>
      <c r="F57">
        <v>33</v>
      </c>
      <c r="G57">
        <v>89.99</v>
      </c>
      <c r="H57">
        <v>42</v>
      </c>
      <c r="I57">
        <f t="shared" si="0"/>
        <v>2969.6699999999996</v>
      </c>
      <c r="J57">
        <f t="shared" si="1"/>
        <v>1386</v>
      </c>
      <c r="K57">
        <f t="shared" si="2"/>
        <v>1583.6699999999996</v>
      </c>
      <c r="L57" s="2">
        <f t="shared" si="3"/>
        <v>0.53328147571952433</v>
      </c>
      <c r="M57" t="str">
        <f t="shared" si="4"/>
        <v>Feb-2025</v>
      </c>
    </row>
    <row r="58" spans="1:13" x14ac:dyDescent="0.3">
      <c r="A58" s="1">
        <v>45706</v>
      </c>
      <c r="B58" t="s">
        <v>31</v>
      </c>
      <c r="C58" t="s">
        <v>32</v>
      </c>
      <c r="D58" t="s">
        <v>13</v>
      </c>
      <c r="E58" t="s">
        <v>14</v>
      </c>
      <c r="F58">
        <v>22</v>
      </c>
      <c r="G58">
        <v>34.99</v>
      </c>
      <c r="H58">
        <v>14</v>
      </c>
      <c r="I58">
        <f t="shared" si="0"/>
        <v>769.78000000000009</v>
      </c>
      <c r="J58">
        <f t="shared" si="1"/>
        <v>308</v>
      </c>
      <c r="K58">
        <f t="shared" si="2"/>
        <v>461.78000000000009</v>
      </c>
      <c r="L58" s="2">
        <f t="shared" si="3"/>
        <v>0.59988568162332101</v>
      </c>
      <c r="M58" t="str">
        <f t="shared" si="4"/>
        <v>Feb-2025</v>
      </c>
    </row>
    <row r="59" spans="1:13" x14ac:dyDescent="0.3">
      <c r="A59" s="1">
        <v>45707</v>
      </c>
      <c r="B59" t="s">
        <v>22</v>
      </c>
      <c r="C59" t="s">
        <v>23</v>
      </c>
      <c r="D59" t="s">
        <v>28</v>
      </c>
      <c r="E59" t="s">
        <v>21</v>
      </c>
      <c r="F59">
        <v>6</v>
      </c>
      <c r="G59">
        <v>79.989999999999995</v>
      </c>
      <c r="H59">
        <v>40</v>
      </c>
      <c r="I59">
        <f t="shared" si="0"/>
        <v>479.93999999999994</v>
      </c>
      <c r="J59">
        <f t="shared" si="1"/>
        <v>240</v>
      </c>
      <c r="K59">
        <f t="shared" si="2"/>
        <v>239.93999999999994</v>
      </c>
      <c r="L59" s="2">
        <f t="shared" si="3"/>
        <v>0.49993749218652328</v>
      </c>
      <c r="M59" t="str">
        <f t="shared" si="4"/>
        <v>Feb-2025</v>
      </c>
    </row>
    <row r="60" spans="1:13" x14ac:dyDescent="0.3">
      <c r="A60" s="1">
        <v>45708</v>
      </c>
      <c r="B60" t="s">
        <v>18</v>
      </c>
      <c r="C60" t="s">
        <v>19</v>
      </c>
      <c r="D60" t="s">
        <v>24</v>
      </c>
      <c r="E60" t="s">
        <v>25</v>
      </c>
      <c r="F60">
        <v>5</v>
      </c>
      <c r="G60">
        <v>29.99</v>
      </c>
      <c r="H60">
        <v>12</v>
      </c>
      <c r="I60">
        <f t="shared" si="0"/>
        <v>149.94999999999999</v>
      </c>
      <c r="J60">
        <f t="shared" si="1"/>
        <v>60</v>
      </c>
      <c r="K60">
        <f t="shared" si="2"/>
        <v>89.949999999999989</v>
      </c>
      <c r="L60" s="2">
        <f t="shared" si="3"/>
        <v>0.59986662220740239</v>
      </c>
      <c r="M60" t="str">
        <f t="shared" si="4"/>
        <v>Feb-2025</v>
      </c>
    </row>
    <row r="61" spans="1:13" x14ac:dyDescent="0.3">
      <c r="A61" s="1">
        <v>45708</v>
      </c>
      <c r="B61" t="s">
        <v>15</v>
      </c>
      <c r="C61" t="s">
        <v>16</v>
      </c>
      <c r="D61" t="s">
        <v>17</v>
      </c>
      <c r="E61" t="s">
        <v>11</v>
      </c>
      <c r="F61">
        <v>5</v>
      </c>
      <c r="G61">
        <v>179.99</v>
      </c>
      <c r="H61">
        <v>95</v>
      </c>
      <c r="I61">
        <f t="shared" si="0"/>
        <v>899.95</v>
      </c>
      <c r="J61">
        <f t="shared" si="1"/>
        <v>475</v>
      </c>
      <c r="K61">
        <f t="shared" si="2"/>
        <v>424.95000000000005</v>
      </c>
      <c r="L61" s="2">
        <f t="shared" si="3"/>
        <v>0.47219289960553368</v>
      </c>
      <c r="M61" t="str">
        <f t="shared" si="4"/>
        <v>Feb-2025</v>
      </c>
    </row>
    <row r="62" spans="1:13" x14ac:dyDescent="0.3">
      <c r="A62" s="1">
        <v>45708</v>
      </c>
      <c r="B62" t="s">
        <v>31</v>
      </c>
      <c r="C62" t="s">
        <v>32</v>
      </c>
      <c r="D62" t="s">
        <v>33</v>
      </c>
      <c r="E62" t="s">
        <v>25</v>
      </c>
      <c r="F62">
        <v>4</v>
      </c>
      <c r="G62">
        <v>119.99</v>
      </c>
      <c r="H62">
        <v>60</v>
      </c>
      <c r="I62">
        <f t="shared" si="0"/>
        <v>479.96</v>
      </c>
      <c r="J62">
        <f t="shared" si="1"/>
        <v>240</v>
      </c>
      <c r="K62">
        <f t="shared" si="2"/>
        <v>239.95999999999998</v>
      </c>
      <c r="L62" s="2">
        <f t="shared" si="3"/>
        <v>0.49995832986082173</v>
      </c>
      <c r="M62" t="str">
        <f t="shared" si="4"/>
        <v>Feb-2025</v>
      </c>
    </row>
    <row r="63" spans="1:13" x14ac:dyDescent="0.3">
      <c r="A63" s="1">
        <v>45709</v>
      </c>
      <c r="B63" t="s">
        <v>31</v>
      </c>
      <c r="C63" t="s">
        <v>32</v>
      </c>
      <c r="D63" t="s">
        <v>36</v>
      </c>
      <c r="E63" t="s">
        <v>25</v>
      </c>
      <c r="F63">
        <v>15</v>
      </c>
      <c r="G63">
        <v>89.99</v>
      </c>
      <c r="H63">
        <v>45</v>
      </c>
      <c r="I63">
        <f t="shared" si="0"/>
        <v>1349.85</v>
      </c>
      <c r="J63">
        <f t="shared" si="1"/>
        <v>675</v>
      </c>
      <c r="K63">
        <f t="shared" si="2"/>
        <v>674.84999999999991</v>
      </c>
      <c r="L63" s="2">
        <f t="shared" si="3"/>
        <v>0.49994443827091894</v>
      </c>
      <c r="M63" t="str">
        <f t="shared" si="4"/>
        <v>Feb-2025</v>
      </c>
    </row>
    <row r="64" spans="1:13" x14ac:dyDescent="0.3">
      <c r="A64" s="1">
        <v>45709</v>
      </c>
      <c r="B64" t="s">
        <v>15</v>
      </c>
      <c r="C64" t="s">
        <v>16</v>
      </c>
      <c r="D64" t="s">
        <v>36</v>
      </c>
      <c r="E64" t="s">
        <v>25</v>
      </c>
      <c r="F64">
        <v>46</v>
      </c>
      <c r="G64">
        <v>89.99</v>
      </c>
      <c r="H64">
        <v>45</v>
      </c>
      <c r="I64">
        <f t="shared" si="0"/>
        <v>4139.54</v>
      </c>
      <c r="J64">
        <f t="shared" si="1"/>
        <v>2070</v>
      </c>
      <c r="K64">
        <f t="shared" si="2"/>
        <v>2069.54</v>
      </c>
      <c r="L64" s="2">
        <f t="shared" si="3"/>
        <v>0.499944438270919</v>
      </c>
      <c r="M64" t="str">
        <f t="shared" si="4"/>
        <v>Feb-2025</v>
      </c>
    </row>
    <row r="65" spans="1:13" x14ac:dyDescent="0.3">
      <c r="A65" s="1">
        <v>45710</v>
      </c>
      <c r="B65" t="s">
        <v>18</v>
      </c>
      <c r="C65" t="s">
        <v>19</v>
      </c>
      <c r="D65" t="s">
        <v>30</v>
      </c>
      <c r="E65" t="s">
        <v>21</v>
      </c>
      <c r="F65">
        <v>6</v>
      </c>
      <c r="G65">
        <v>89.99</v>
      </c>
      <c r="H65">
        <v>42</v>
      </c>
      <c r="I65">
        <f t="shared" si="0"/>
        <v>539.93999999999994</v>
      </c>
      <c r="J65">
        <f t="shared" si="1"/>
        <v>252</v>
      </c>
      <c r="K65">
        <f t="shared" si="2"/>
        <v>287.93999999999994</v>
      </c>
      <c r="L65" s="2">
        <f t="shared" si="3"/>
        <v>0.53328147571952433</v>
      </c>
      <c r="M65" t="str">
        <f t="shared" si="4"/>
        <v>Feb-2025</v>
      </c>
    </row>
    <row r="66" spans="1:13" x14ac:dyDescent="0.3">
      <c r="A66" s="1">
        <v>45710</v>
      </c>
      <c r="B66" t="s">
        <v>12</v>
      </c>
      <c r="C66" t="s">
        <v>9</v>
      </c>
      <c r="D66" t="s">
        <v>10</v>
      </c>
      <c r="E66" t="s">
        <v>11</v>
      </c>
      <c r="F66">
        <v>3</v>
      </c>
      <c r="G66">
        <v>599.99</v>
      </c>
      <c r="H66">
        <v>360</v>
      </c>
      <c r="I66">
        <f t="shared" si="0"/>
        <v>1799.97</v>
      </c>
      <c r="J66">
        <f t="shared" si="1"/>
        <v>1080</v>
      </c>
      <c r="K66">
        <f t="shared" si="2"/>
        <v>719.97</v>
      </c>
      <c r="L66" s="2">
        <f t="shared" si="3"/>
        <v>0.39998999983333056</v>
      </c>
      <c r="M66" t="str">
        <f t="shared" si="4"/>
        <v>Feb-2025</v>
      </c>
    </row>
    <row r="67" spans="1:13" x14ac:dyDescent="0.3">
      <c r="A67" s="1">
        <v>45710</v>
      </c>
      <c r="B67" t="s">
        <v>31</v>
      </c>
      <c r="C67" t="s">
        <v>32</v>
      </c>
      <c r="D67" t="s">
        <v>38</v>
      </c>
      <c r="E67" t="s">
        <v>11</v>
      </c>
      <c r="F67">
        <v>4</v>
      </c>
      <c r="G67">
        <v>850</v>
      </c>
      <c r="H67">
        <v>520</v>
      </c>
      <c r="I67">
        <f t="shared" ref="I67:I130" si="5">F67*G67</f>
        <v>3400</v>
      </c>
      <c r="J67">
        <f t="shared" ref="J67:J130" si="6">F67*H67</f>
        <v>2080</v>
      </c>
      <c r="K67">
        <f t="shared" ref="K67:K130" si="7">I67-J67</f>
        <v>1320</v>
      </c>
      <c r="L67" s="2">
        <f t="shared" ref="L67:L130" si="8">K67/I67</f>
        <v>0.38823529411764707</v>
      </c>
      <c r="M67" t="str">
        <f t="shared" ref="M67:M130" si="9">TEXT(A67,"mmm-yyyy")</f>
        <v>Feb-2025</v>
      </c>
    </row>
    <row r="68" spans="1:13" x14ac:dyDescent="0.3">
      <c r="A68" s="1">
        <v>45710</v>
      </c>
      <c r="B68" t="s">
        <v>15</v>
      </c>
      <c r="C68" t="s">
        <v>16</v>
      </c>
      <c r="D68" t="s">
        <v>39</v>
      </c>
      <c r="E68" t="s">
        <v>25</v>
      </c>
      <c r="F68">
        <v>4</v>
      </c>
      <c r="G68">
        <v>149.99</v>
      </c>
      <c r="H68">
        <v>75</v>
      </c>
      <c r="I68">
        <f t="shared" si="5"/>
        <v>599.96</v>
      </c>
      <c r="J68">
        <f t="shared" si="6"/>
        <v>300</v>
      </c>
      <c r="K68">
        <f t="shared" si="7"/>
        <v>299.96000000000004</v>
      </c>
      <c r="L68" s="2">
        <f t="shared" si="8"/>
        <v>0.49996666444429633</v>
      </c>
      <c r="M68" t="str">
        <f t="shared" si="9"/>
        <v>Feb-2025</v>
      </c>
    </row>
    <row r="69" spans="1:13" x14ac:dyDescent="0.3">
      <c r="A69" s="1">
        <v>45711</v>
      </c>
      <c r="B69" t="s">
        <v>22</v>
      </c>
      <c r="C69" t="s">
        <v>23</v>
      </c>
      <c r="D69" t="s">
        <v>13</v>
      </c>
      <c r="E69" t="s">
        <v>14</v>
      </c>
      <c r="F69">
        <v>9</v>
      </c>
      <c r="G69">
        <v>34.99</v>
      </c>
      <c r="H69">
        <v>14</v>
      </c>
      <c r="I69">
        <f t="shared" si="5"/>
        <v>314.91000000000003</v>
      </c>
      <c r="J69">
        <f t="shared" si="6"/>
        <v>126</v>
      </c>
      <c r="K69">
        <f t="shared" si="7"/>
        <v>188.91000000000003</v>
      </c>
      <c r="L69" s="2">
        <f t="shared" si="8"/>
        <v>0.59988568162332101</v>
      </c>
      <c r="M69" t="str">
        <f t="shared" si="9"/>
        <v>Feb-2025</v>
      </c>
    </row>
    <row r="70" spans="1:13" x14ac:dyDescent="0.3">
      <c r="A70" s="1">
        <v>45711</v>
      </c>
      <c r="B70" t="s">
        <v>22</v>
      </c>
      <c r="C70" t="s">
        <v>23</v>
      </c>
      <c r="D70" t="s">
        <v>17</v>
      </c>
      <c r="E70" t="s">
        <v>11</v>
      </c>
      <c r="F70">
        <v>5</v>
      </c>
      <c r="G70">
        <v>179.99</v>
      </c>
      <c r="H70">
        <v>95</v>
      </c>
      <c r="I70">
        <f t="shared" si="5"/>
        <v>899.95</v>
      </c>
      <c r="J70">
        <f t="shared" si="6"/>
        <v>475</v>
      </c>
      <c r="K70">
        <f t="shared" si="7"/>
        <v>424.95000000000005</v>
      </c>
      <c r="L70" s="2">
        <f t="shared" si="8"/>
        <v>0.47219289960553368</v>
      </c>
      <c r="M70" t="str">
        <f t="shared" si="9"/>
        <v>Feb-2025</v>
      </c>
    </row>
    <row r="71" spans="1:13" x14ac:dyDescent="0.3">
      <c r="A71" s="1">
        <v>45711</v>
      </c>
      <c r="B71" t="s">
        <v>27</v>
      </c>
      <c r="C71" t="s">
        <v>23</v>
      </c>
      <c r="D71" t="s">
        <v>38</v>
      </c>
      <c r="E71" t="s">
        <v>11</v>
      </c>
      <c r="F71">
        <v>1</v>
      </c>
      <c r="G71">
        <v>850</v>
      </c>
      <c r="H71">
        <v>520</v>
      </c>
      <c r="I71">
        <f t="shared" si="5"/>
        <v>850</v>
      </c>
      <c r="J71">
        <f t="shared" si="6"/>
        <v>520</v>
      </c>
      <c r="K71">
        <f t="shared" si="7"/>
        <v>330</v>
      </c>
      <c r="L71" s="2">
        <f t="shared" si="8"/>
        <v>0.38823529411764707</v>
      </c>
      <c r="M71" t="str">
        <f t="shared" si="9"/>
        <v>Feb-2025</v>
      </c>
    </row>
    <row r="72" spans="1:13" x14ac:dyDescent="0.3">
      <c r="A72" s="1">
        <v>45711</v>
      </c>
      <c r="B72" t="s">
        <v>15</v>
      </c>
      <c r="C72" t="s">
        <v>16</v>
      </c>
      <c r="D72" t="s">
        <v>10</v>
      </c>
      <c r="E72" t="s">
        <v>11</v>
      </c>
      <c r="F72">
        <v>2</v>
      </c>
      <c r="G72">
        <v>599.99</v>
      </c>
      <c r="H72">
        <v>360</v>
      </c>
      <c r="I72">
        <f t="shared" si="5"/>
        <v>1199.98</v>
      </c>
      <c r="J72">
        <f t="shared" si="6"/>
        <v>720</v>
      </c>
      <c r="K72">
        <f t="shared" si="7"/>
        <v>479.98</v>
      </c>
      <c r="L72" s="2">
        <f t="shared" si="8"/>
        <v>0.39998999983333056</v>
      </c>
      <c r="M72" t="str">
        <f t="shared" si="9"/>
        <v>Feb-2025</v>
      </c>
    </row>
    <row r="73" spans="1:13" x14ac:dyDescent="0.3">
      <c r="A73" s="1">
        <v>45711</v>
      </c>
      <c r="B73" t="s">
        <v>27</v>
      </c>
      <c r="C73" t="s">
        <v>23</v>
      </c>
      <c r="D73" t="s">
        <v>26</v>
      </c>
      <c r="E73" t="s">
        <v>25</v>
      </c>
      <c r="F73">
        <v>5</v>
      </c>
      <c r="G73">
        <v>1250</v>
      </c>
      <c r="H73">
        <v>850</v>
      </c>
      <c r="I73">
        <f t="shared" si="5"/>
        <v>6250</v>
      </c>
      <c r="J73">
        <f t="shared" si="6"/>
        <v>4250</v>
      </c>
      <c r="K73">
        <f t="shared" si="7"/>
        <v>2000</v>
      </c>
      <c r="L73" s="2">
        <f t="shared" si="8"/>
        <v>0.32</v>
      </c>
      <c r="M73" t="str">
        <f t="shared" si="9"/>
        <v>Feb-2025</v>
      </c>
    </row>
    <row r="74" spans="1:13" x14ac:dyDescent="0.3">
      <c r="A74" s="1">
        <v>45712</v>
      </c>
      <c r="B74" t="s">
        <v>22</v>
      </c>
      <c r="C74" t="s">
        <v>23</v>
      </c>
      <c r="D74" t="s">
        <v>38</v>
      </c>
      <c r="E74" t="s">
        <v>11</v>
      </c>
      <c r="F74">
        <v>4</v>
      </c>
      <c r="G74">
        <v>850</v>
      </c>
      <c r="H74">
        <v>520</v>
      </c>
      <c r="I74">
        <f t="shared" si="5"/>
        <v>3400</v>
      </c>
      <c r="J74">
        <f t="shared" si="6"/>
        <v>2080</v>
      </c>
      <c r="K74">
        <f t="shared" si="7"/>
        <v>1320</v>
      </c>
      <c r="L74" s="2">
        <f t="shared" si="8"/>
        <v>0.38823529411764707</v>
      </c>
      <c r="M74" t="str">
        <f t="shared" si="9"/>
        <v>Feb-2025</v>
      </c>
    </row>
    <row r="75" spans="1:13" x14ac:dyDescent="0.3">
      <c r="A75" s="1">
        <v>45715</v>
      </c>
      <c r="B75" t="s">
        <v>18</v>
      </c>
      <c r="C75" t="s">
        <v>19</v>
      </c>
      <c r="D75" t="s">
        <v>33</v>
      </c>
      <c r="E75" t="s">
        <v>25</v>
      </c>
      <c r="F75">
        <v>3</v>
      </c>
      <c r="G75">
        <v>119.99</v>
      </c>
      <c r="H75">
        <v>60</v>
      </c>
      <c r="I75">
        <f t="shared" si="5"/>
        <v>359.96999999999997</v>
      </c>
      <c r="J75">
        <f t="shared" si="6"/>
        <v>180</v>
      </c>
      <c r="K75">
        <f t="shared" si="7"/>
        <v>179.96999999999997</v>
      </c>
      <c r="L75" s="2">
        <f t="shared" si="8"/>
        <v>0.49995832986082167</v>
      </c>
      <c r="M75" t="str">
        <f t="shared" si="9"/>
        <v>Feb-2025</v>
      </c>
    </row>
    <row r="76" spans="1:13" x14ac:dyDescent="0.3">
      <c r="A76" s="1">
        <v>45715</v>
      </c>
      <c r="B76" t="s">
        <v>12</v>
      </c>
      <c r="C76" t="s">
        <v>9</v>
      </c>
      <c r="D76" t="s">
        <v>17</v>
      </c>
      <c r="E76" t="s">
        <v>11</v>
      </c>
      <c r="F76">
        <v>4</v>
      </c>
      <c r="G76">
        <v>179.99</v>
      </c>
      <c r="H76">
        <v>95</v>
      </c>
      <c r="I76">
        <f t="shared" si="5"/>
        <v>719.96</v>
      </c>
      <c r="J76">
        <f t="shared" si="6"/>
        <v>380</v>
      </c>
      <c r="K76">
        <f t="shared" si="7"/>
        <v>339.96000000000004</v>
      </c>
      <c r="L76" s="2">
        <f t="shared" si="8"/>
        <v>0.47219289960553368</v>
      </c>
      <c r="M76" t="str">
        <f t="shared" si="9"/>
        <v>Feb-2025</v>
      </c>
    </row>
    <row r="77" spans="1:13" x14ac:dyDescent="0.3">
      <c r="A77" s="1">
        <v>45715</v>
      </c>
      <c r="B77" t="s">
        <v>15</v>
      </c>
      <c r="C77" t="s">
        <v>16</v>
      </c>
      <c r="D77" t="s">
        <v>20</v>
      </c>
      <c r="E77" t="s">
        <v>21</v>
      </c>
      <c r="F77">
        <v>26</v>
      </c>
      <c r="G77">
        <v>24.99</v>
      </c>
      <c r="H77">
        <v>10</v>
      </c>
      <c r="I77">
        <f t="shared" si="5"/>
        <v>649.74</v>
      </c>
      <c r="J77">
        <f t="shared" si="6"/>
        <v>260</v>
      </c>
      <c r="K77">
        <f t="shared" si="7"/>
        <v>389.74</v>
      </c>
      <c r="L77" s="2">
        <f t="shared" si="8"/>
        <v>0.59983993597438978</v>
      </c>
      <c r="M77" t="str">
        <f t="shared" si="9"/>
        <v>Feb-2025</v>
      </c>
    </row>
    <row r="78" spans="1:13" x14ac:dyDescent="0.3">
      <c r="A78" s="1">
        <v>45715</v>
      </c>
      <c r="B78" t="s">
        <v>8</v>
      </c>
      <c r="C78" t="s">
        <v>9</v>
      </c>
      <c r="D78" t="s">
        <v>13</v>
      </c>
      <c r="E78" t="s">
        <v>14</v>
      </c>
      <c r="F78">
        <v>48</v>
      </c>
      <c r="G78">
        <v>34.99</v>
      </c>
      <c r="H78">
        <v>14</v>
      </c>
      <c r="I78">
        <f t="shared" si="5"/>
        <v>1679.52</v>
      </c>
      <c r="J78">
        <f t="shared" si="6"/>
        <v>672</v>
      </c>
      <c r="K78">
        <f t="shared" si="7"/>
        <v>1007.52</v>
      </c>
      <c r="L78" s="2">
        <f t="shared" si="8"/>
        <v>0.5998856816233209</v>
      </c>
      <c r="M78" t="str">
        <f t="shared" si="9"/>
        <v>Feb-2025</v>
      </c>
    </row>
    <row r="79" spans="1:13" x14ac:dyDescent="0.3">
      <c r="A79" s="1">
        <v>45716</v>
      </c>
      <c r="B79" t="s">
        <v>22</v>
      </c>
      <c r="C79" t="s">
        <v>23</v>
      </c>
      <c r="D79" t="s">
        <v>10</v>
      </c>
      <c r="E79" t="s">
        <v>11</v>
      </c>
      <c r="F79">
        <v>1</v>
      </c>
      <c r="G79">
        <v>599.99</v>
      </c>
      <c r="H79">
        <v>360</v>
      </c>
      <c r="I79">
        <f t="shared" si="5"/>
        <v>599.99</v>
      </c>
      <c r="J79">
        <f t="shared" si="6"/>
        <v>360</v>
      </c>
      <c r="K79">
        <f t="shared" si="7"/>
        <v>239.99</v>
      </c>
      <c r="L79" s="2">
        <f t="shared" si="8"/>
        <v>0.39998999983333056</v>
      </c>
      <c r="M79" t="str">
        <f t="shared" si="9"/>
        <v>Feb-2025</v>
      </c>
    </row>
    <row r="80" spans="1:13" x14ac:dyDescent="0.3">
      <c r="A80" s="1">
        <v>45717</v>
      </c>
      <c r="B80" t="s">
        <v>22</v>
      </c>
      <c r="C80" t="s">
        <v>23</v>
      </c>
      <c r="D80" t="s">
        <v>26</v>
      </c>
      <c r="E80" t="s">
        <v>25</v>
      </c>
      <c r="F80">
        <v>2</v>
      </c>
      <c r="G80">
        <v>1250</v>
      </c>
      <c r="H80">
        <v>850</v>
      </c>
      <c r="I80">
        <f t="shared" si="5"/>
        <v>2500</v>
      </c>
      <c r="J80">
        <f t="shared" si="6"/>
        <v>1700</v>
      </c>
      <c r="K80">
        <f t="shared" si="7"/>
        <v>800</v>
      </c>
      <c r="L80" s="2">
        <f t="shared" si="8"/>
        <v>0.32</v>
      </c>
      <c r="M80" t="str">
        <f t="shared" si="9"/>
        <v>Mar-2025</v>
      </c>
    </row>
    <row r="81" spans="1:13" x14ac:dyDescent="0.3">
      <c r="A81" s="1">
        <v>45717</v>
      </c>
      <c r="B81" t="s">
        <v>8</v>
      </c>
      <c r="C81" t="s">
        <v>9</v>
      </c>
      <c r="D81" t="s">
        <v>28</v>
      </c>
      <c r="E81" t="s">
        <v>21</v>
      </c>
      <c r="F81">
        <v>34</v>
      </c>
      <c r="G81">
        <v>79.989999999999995</v>
      </c>
      <c r="H81">
        <v>40</v>
      </c>
      <c r="I81">
        <f t="shared" si="5"/>
        <v>2719.66</v>
      </c>
      <c r="J81">
        <f t="shared" si="6"/>
        <v>1360</v>
      </c>
      <c r="K81">
        <f t="shared" si="7"/>
        <v>1359.6599999999999</v>
      </c>
      <c r="L81" s="2">
        <f t="shared" si="8"/>
        <v>0.49993749218652328</v>
      </c>
      <c r="M81" t="str">
        <f t="shared" si="9"/>
        <v>Mar-2025</v>
      </c>
    </row>
    <row r="82" spans="1:13" x14ac:dyDescent="0.3">
      <c r="A82" s="1">
        <v>45719</v>
      </c>
      <c r="B82" t="s">
        <v>37</v>
      </c>
      <c r="C82" t="s">
        <v>16</v>
      </c>
      <c r="D82" t="s">
        <v>35</v>
      </c>
      <c r="E82" t="s">
        <v>25</v>
      </c>
      <c r="F82">
        <v>8</v>
      </c>
      <c r="G82">
        <v>349.99</v>
      </c>
      <c r="H82">
        <v>210</v>
      </c>
      <c r="I82">
        <f t="shared" si="5"/>
        <v>2799.92</v>
      </c>
      <c r="J82">
        <f t="shared" si="6"/>
        <v>1680</v>
      </c>
      <c r="K82">
        <f t="shared" si="7"/>
        <v>1119.92</v>
      </c>
      <c r="L82" s="2">
        <f t="shared" si="8"/>
        <v>0.39998285665304723</v>
      </c>
      <c r="M82" t="str">
        <f t="shared" si="9"/>
        <v>Mar-2025</v>
      </c>
    </row>
    <row r="83" spans="1:13" x14ac:dyDescent="0.3">
      <c r="A83" s="1">
        <v>45719</v>
      </c>
      <c r="B83" t="s">
        <v>22</v>
      </c>
      <c r="C83" t="s">
        <v>23</v>
      </c>
      <c r="D83" t="s">
        <v>10</v>
      </c>
      <c r="E83" t="s">
        <v>11</v>
      </c>
      <c r="F83">
        <v>3</v>
      </c>
      <c r="G83">
        <v>599.99</v>
      </c>
      <c r="H83">
        <v>360</v>
      </c>
      <c r="I83">
        <f t="shared" si="5"/>
        <v>1799.97</v>
      </c>
      <c r="J83">
        <f t="shared" si="6"/>
        <v>1080</v>
      </c>
      <c r="K83">
        <f t="shared" si="7"/>
        <v>719.97</v>
      </c>
      <c r="L83" s="2">
        <f t="shared" si="8"/>
        <v>0.39998999983333056</v>
      </c>
      <c r="M83" t="str">
        <f t="shared" si="9"/>
        <v>Mar-2025</v>
      </c>
    </row>
    <row r="84" spans="1:13" x14ac:dyDescent="0.3">
      <c r="A84" s="1">
        <v>45720</v>
      </c>
      <c r="B84" t="s">
        <v>31</v>
      </c>
      <c r="C84" t="s">
        <v>32</v>
      </c>
      <c r="D84" t="s">
        <v>35</v>
      </c>
      <c r="E84" t="s">
        <v>25</v>
      </c>
      <c r="F84">
        <v>14</v>
      </c>
      <c r="G84">
        <v>349.99</v>
      </c>
      <c r="H84">
        <v>210</v>
      </c>
      <c r="I84">
        <f t="shared" si="5"/>
        <v>4899.8600000000006</v>
      </c>
      <c r="J84">
        <f t="shared" si="6"/>
        <v>2940</v>
      </c>
      <c r="K84">
        <f t="shared" si="7"/>
        <v>1959.8600000000006</v>
      </c>
      <c r="L84" s="2">
        <f t="shared" si="8"/>
        <v>0.39998285665304728</v>
      </c>
      <c r="M84" t="str">
        <f t="shared" si="9"/>
        <v>Mar-2025</v>
      </c>
    </row>
    <row r="85" spans="1:13" x14ac:dyDescent="0.3">
      <c r="A85" s="1">
        <v>45720</v>
      </c>
      <c r="B85" t="s">
        <v>18</v>
      </c>
      <c r="C85" t="s">
        <v>19</v>
      </c>
      <c r="D85" t="s">
        <v>17</v>
      </c>
      <c r="E85" t="s">
        <v>11</v>
      </c>
      <c r="F85">
        <v>7</v>
      </c>
      <c r="G85">
        <v>179.99</v>
      </c>
      <c r="H85">
        <v>95</v>
      </c>
      <c r="I85">
        <f t="shared" si="5"/>
        <v>1259.93</v>
      </c>
      <c r="J85">
        <f t="shared" si="6"/>
        <v>665</v>
      </c>
      <c r="K85">
        <f t="shared" si="7"/>
        <v>594.93000000000006</v>
      </c>
      <c r="L85" s="2">
        <f t="shared" si="8"/>
        <v>0.47219289960553368</v>
      </c>
      <c r="M85" t="str">
        <f t="shared" si="9"/>
        <v>Mar-2025</v>
      </c>
    </row>
    <row r="86" spans="1:13" x14ac:dyDescent="0.3">
      <c r="A86" s="1">
        <v>45720</v>
      </c>
      <c r="B86" t="s">
        <v>15</v>
      </c>
      <c r="C86" t="s">
        <v>16</v>
      </c>
      <c r="D86" t="s">
        <v>36</v>
      </c>
      <c r="E86" t="s">
        <v>25</v>
      </c>
      <c r="F86">
        <v>36</v>
      </c>
      <c r="G86">
        <v>89.99</v>
      </c>
      <c r="H86">
        <v>45</v>
      </c>
      <c r="I86">
        <f t="shared" si="5"/>
        <v>3239.64</v>
      </c>
      <c r="J86">
        <f t="shared" si="6"/>
        <v>1620</v>
      </c>
      <c r="K86">
        <f t="shared" si="7"/>
        <v>1619.6399999999999</v>
      </c>
      <c r="L86" s="2">
        <f t="shared" si="8"/>
        <v>0.49994443827091894</v>
      </c>
      <c r="M86" t="str">
        <f t="shared" si="9"/>
        <v>Mar-2025</v>
      </c>
    </row>
    <row r="87" spans="1:13" x14ac:dyDescent="0.3">
      <c r="A87" s="1">
        <v>45722</v>
      </c>
      <c r="B87" t="s">
        <v>8</v>
      </c>
      <c r="C87" t="s">
        <v>9</v>
      </c>
      <c r="D87" t="s">
        <v>10</v>
      </c>
      <c r="E87" t="s">
        <v>11</v>
      </c>
      <c r="F87">
        <v>1</v>
      </c>
      <c r="G87">
        <v>599.99</v>
      </c>
      <c r="H87">
        <v>360</v>
      </c>
      <c r="I87">
        <f t="shared" si="5"/>
        <v>599.99</v>
      </c>
      <c r="J87">
        <f t="shared" si="6"/>
        <v>360</v>
      </c>
      <c r="K87">
        <f t="shared" si="7"/>
        <v>239.99</v>
      </c>
      <c r="L87" s="2">
        <f t="shared" si="8"/>
        <v>0.39998999983333056</v>
      </c>
      <c r="M87" t="str">
        <f t="shared" si="9"/>
        <v>Mar-2025</v>
      </c>
    </row>
    <row r="88" spans="1:13" x14ac:dyDescent="0.3">
      <c r="A88" s="1">
        <v>45723</v>
      </c>
      <c r="B88" t="s">
        <v>31</v>
      </c>
      <c r="C88" t="s">
        <v>32</v>
      </c>
      <c r="D88" t="s">
        <v>28</v>
      </c>
      <c r="E88" t="s">
        <v>21</v>
      </c>
      <c r="F88">
        <v>21</v>
      </c>
      <c r="G88">
        <v>79.989999999999995</v>
      </c>
      <c r="H88">
        <v>40</v>
      </c>
      <c r="I88">
        <f t="shared" si="5"/>
        <v>1679.79</v>
      </c>
      <c r="J88">
        <f t="shared" si="6"/>
        <v>840</v>
      </c>
      <c r="K88">
        <f t="shared" si="7"/>
        <v>839.79</v>
      </c>
      <c r="L88" s="2">
        <f t="shared" si="8"/>
        <v>0.49993749218652328</v>
      </c>
      <c r="M88" t="str">
        <f t="shared" si="9"/>
        <v>Mar-2025</v>
      </c>
    </row>
    <row r="89" spans="1:13" x14ac:dyDescent="0.3">
      <c r="A89" s="1">
        <v>45725</v>
      </c>
      <c r="B89" t="s">
        <v>8</v>
      </c>
      <c r="C89" t="s">
        <v>9</v>
      </c>
      <c r="D89" t="s">
        <v>24</v>
      </c>
      <c r="E89" t="s">
        <v>25</v>
      </c>
      <c r="F89">
        <v>18</v>
      </c>
      <c r="G89">
        <v>29.99</v>
      </c>
      <c r="H89">
        <v>12</v>
      </c>
      <c r="I89">
        <f t="shared" si="5"/>
        <v>539.81999999999994</v>
      </c>
      <c r="J89">
        <f t="shared" si="6"/>
        <v>216</v>
      </c>
      <c r="K89">
        <f t="shared" si="7"/>
        <v>323.81999999999994</v>
      </c>
      <c r="L89" s="2">
        <f t="shared" si="8"/>
        <v>0.59986662220740239</v>
      </c>
      <c r="M89" t="str">
        <f t="shared" si="9"/>
        <v>Mar-2025</v>
      </c>
    </row>
    <row r="90" spans="1:13" x14ac:dyDescent="0.3">
      <c r="A90" s="1">
        <v>45726</v>
      </c>
      <c r="B90" t="s">
        <v>15</v>
      </c>
      <c r="C90" t="s">
        <v>16</v>
      </c>
      <c r="D90" t="s">
        <v>30</v>
      </c>
      <c r="E90" t="s">
        <v>21</v>
      </c>
      <c r="F90">
        <v>13</v>
      </c>
      <c r="G90">
        <v>89.99</v>
      </c>
      <c r="H90">
        <v>42</v>
      </c>
      <c r="I90">
        <f t="shared" si="5"/>
        <v>1169.8699999999999</v>
      </c>
      <c r="J90">
        <f t="shared" si="6"/>
        <v>546</v>
      </c>
      <c r="K90">
        <f t="shared" si="7"/>
        <v>623.86999999999989</v>
      </c>
      <c r="L90" s="2">
        <f t="shared" si="8"/>
        <v>0.53328147571952433</v>
      </c>
      <c r="M90" t="str">
        <f t="shared" si="9"/>
        <v>Mar-2025</v>
      </c>
    </row>
    <row r="91" spans="1:13" x14ac:dyDescent="0.3">
      <c r="A91" s="1">
        <v>45726</v>
      </c>
      <c r="B91" t="s">
        <v>27</v>
      </c>
      <c r="C91" t="s">
        <v>23</v>
      </c>
      <c r="D91" t="s">
        <v>35</v>
      </c>
      <c r="E91" t="s">
        <v>25</v>
      </c>
      <c r="F91">
        <v>8</v>
      </c>
      <c r="G91">
        <v>349.99</v>
      </c>
      <c r="H91">
        <v>210</v>
      </c>
      <c r="I91">
        <f t="shared" si="5"/>
        <v>2799.92</v>
      </c>
      <c r="J91">
        <f t="shared" si="6"/>
        <v>1680</v>
      </c>
      <c r="K91">
        <f t="shared" si="7"/>
        <v>1119.92</v>
      </c>
      <c r="L91" s="2">
        <f t="shared" si="8"/>
        <v>0.39998285665304723</v>
      </c>
      <c r="M91" t="str">
        <f t="shared" si="9"/>
        <v>Mar-2025</v>
      </c>
    </row>
    <row r="92" spans="1:13" x14ac:dyDescent="0.3">
      <c r="A92" s="1">
        <v>45729</v>
      </c>
      <c r="B92" t="s">
        <v>15</v>
      </c>
      <c r="C92" t="s">
        <v>16</v>
      </c>
      <c r="D92" t="s">
        <v>30</v>
      </c>
      <c r="E92" t="s">
        <v>21</v>
      </c>
      <c r="F92">
        <v>6</v>
      </c>
      <c r="G92">
        <v>89.99</v>
      </c>
      <c r="H92">
        <v>42</v>
      </c>
      <c r="I92">
        <f t="shared" si="5"/>
        <v>539.93999999999994</v>
      </c>
      <c r="J92">
        <f t="shared" si="6"/>
        <v>252</v>
      </c>
      <c r="K92">
        <f t="shared" si="7"/>
        <v>287.93999999999994</v>
      </c>
      <c r="L92" s="2">
        <f t="shared" si="8"/>
        <v>0.53328147571952433</v>
      </c>
      <c r="M92" t="str">
        <f t="shared" si="9"/>
        <v>Mar-2025</v>
      </c>
    </row>
    <row r="93" spans="1:13" x14ac:dyDescent="0.3">
      <c r="A93" s="1">
        <v>45732</v>
      </c>
      <c r="B93" t="s">
        <v>37</v>
      </c>
      <c r="C93" t="s">
        <v>16</v>
      </c>
      <c r="D93" t="s">
        <v>33</v>
      </c>
      <c r="E93" t="s">
        <v>25</v>
      </c>
      <c r="F93">
        <v>13</v>
      </c>
      <c r="G93">
        <v>119.99</v>
      </c>
      <c r="H93">
        <v>60</v>
      </c>
      <c r="I93">
        <f t="shared" si="5"/>
        <v>1559.87</v>
      </c>
      <c r="J93">
        <f t="shared" si="6"/>
        <v>780</v>
      </c>
      <c r="K93">
        <f t="shared" si="7"/>
        <v>779.86999999999989</v>
      </c>
      <c r="L93" s="2">
        <f t="shared" si="8"/>
        <v>0.49995832986082173</v>
      </c>
      <c r="M93" t="str">
        <f t="shared" si="9"/>
        <v>Mar-2025</v>
      </c>
    </row>
    <row r="94" spans="1:13" x14ac:dyDescent="0.3">
      <c r="A94" s="1">
        <v>45733</v>
      </c>
      <c r="B94" t="s">
        <v>15</v>
      </c>
      <c r="C94" t="s">
        <v>16</v>
      </c>
      <c r="D94" t="s">
        <v>24</v>
      </c>
      <c r="E94" t="s">
        <v>25</v>
      </c>
      <c r="F94">
        <v>29</v>
      </c>
      <c r="G94">
        <v>29.99</v>
      </c>
      <c r="H94">
        <v>12</v>
      </c>
      <c r="I94">
        <f t="shared" si="5"/>
        <v>869.70999999999992</v>
      </c>
      <c r="J94">
        <f t="shared" si="6"/>
        <v>348</v>
      </c>
      <c r="K94">
        <f t="shared" si="7"/>
        <v>521.70999999999992</v>
      </c>
      <c r="L94" s="2">
        <f t="shared" si="8"/>
        <v>0.59986662220740239</v>
      </c>
      <c r="M94" t="str">
        <f t="shared" si="9"/>
        <v>Mar-2025</v>
      </c>
    </row>
    <row r="95" spans="1:13" x14ac:dyDescent="0.3">
      <c r="A95" s="1">
        <v>45738</v>
      </c>
      <c r="B95" t="s">
        <v>15</v>
      </c>
      <c r="C95" t="s">
        <v>16</v>
      </c>
      <c r="D95" t="s">
        <v>30</v>
      </c>
      <c r="E95" t="s">
        <v>21</v>
      </c>
      <c r="F95">
        <v>43</v>
      </c>
      <c r="G95">
        <v>89.99</v>
      </c>
      <c r="H95">
        <v>42</v>
      </c>
      <c r="I95">
        <f t="shared" si="5"/>
        <v>3869.5699999999997</v>
      </c>
      <c r="J95">
        <f t="shared" si="6"/>
        <v>1806</v>
      </c>
      <c r="K95">
        <f t="shared" si="7"/>
        <v>2063.5699999999997</v>
      </c>
      <c r="L95" s="2">
        <f t="shared" si="8"/>
        <v>0.53328147571952433</v>
      </c>
      <c r="M95" t="str">
        <f t="shared" si="9"/>
        <v>Mar-2025</v>
      </c>
    </row>
    <row r="96" spans="1:13" x14ac:dyDescent="0.3">
      <c r="A96" s="1">
        <v>45738</v>
      </c>
      <c r="B96" t="s">
        <v>37</v>
      </c>
      <c r="C96" t="s">
        <v>16</v>
      </c>
      <c r="D96" t="s">
        <v>34</v>
      </c>
      <c r="E96" t="s">
        <v>11</v>
      </c>
      <c r="F96">
        <v>9</v>
      </c>
      <c r="G96">
        <v>299.99</v>
      </c>
      <c r="H96">
        <v>160</v>
      </c>
      <c r="I96">
        <f t="shared" si="5"/>
        <v>2699.91</v>
      </c>
      <c r="J96">
        <f t="shared" si="6"/>
        <v>1440</v>
      </c>
      <c r="K96">
        <f t="shared" si="7"/>
        <v>1259.9099999999999</v>
      </c>
      <c r="L96" s="2">
        <f t="shared" si="8"/>
        <v>0.46664888829627649</v>
      </c>
      <c r="M96" t="str">
        <f t="shared" si="9"/>
        <v>Mar-2025</v>
      </c>
    </row>
    <row r="97" spans="1:13" x14ac:dyDescent="0.3">
      <c r="A97" s="1">
        <v>45738</v>
      </c>
      <c r="B97" t="s">
        <v>18</v>
      </c>
      <c r="C97" t="s">
        <v>19</v>
      </c>
      <c r="D97" t="s">
        <v>34</v>
      </c>
      <c r="E97" t="s">
        <v>11</v>
      </c>
      <c r="F97">
        <v>6</v>
      </c>
      <c r="G97">
        <v>299.99</v>
      </c>
      <c r="H97">
        <v>160</v>
      </c>
      <c r="I97">
        <f t="shared" si="5"/>
        <v>1799.94</v>
      </c>
      <c r="J97">
        <f t="shared" si="6"/>
        <v>960</v>
      </c>
      <c r="K97">
        <f t="shared" si="7"/>
        <v>839.94</v>
      </c>
      <c r="L97" s="2">
        <f t="shared" si="8"/>
        <v>0.46664888829627654</v>
      </c>
      <c r="M97" t="str">
        <f t="shared" si="9"/>
        <v>Mar-2025</v>
      </c>
    </row>
    <row r="98" spans="1:13" x14ac:dyDescent="0.3">
      <c r="A98" s="1">
        <v>45743</v>
      </c>
      <c r="B98" t="s">
        <v>22</v>
      </c>
      <c r="C98" t="s">
        <v>23</v>
      </c>
      <c r="D98" t="s">
        <v>26</v>
      </c>
      <c r="E98" t="s">
        <v>25</v>
      </c>
      <c r="F98">
        <v>3</v>
      </c>
      <c r="G98">
        <v>1250</v>
      </c>
      <c r="H98">
        <v>850</v>
      </c>
      <c r="I98">
        <f t="shared" si="5"/>
        <v>3750</v>
      </c>
      <c r="J98">
        <f t="shared" si="6"/>
        <v>2550</v>
      </c>
      <c r="K98">
        <f t="shared" si="7"/>
        <v>1200</v>
      </c>
      <c r="L98" s="2">
        <f t="shared" si="8"/>
        <v>0.32</v>
      </c>
      <c r="M98" t="str">
        <f t="shared" si="9"/>
        <v>Mar-2025</v>
      </c>
    </row>
    <row r="99" spans="1:13" x14ac:dyDescent="0.3">
      <c r="A99" s="1">
        <v>45743</v>
      </c>
      <c r="B99" t="s">
        <v>15</v>
      </c>
      <c r="C99" t="s">
        <v>16</v>
      </c>
      <c r="D99" t="s">
        <v>13</v>
      </c>
      <c r="E99" t="s">
        <v>14</v>
      </c>
      <c r="F99">
        <v>8</v>
      </c>
      <c r="G99">
        <v>34.99</v>
      </c>
      <c r="H99">
        <v>14</v>
      </c>
      <c r="I99">
        <f t="shared" si="5"/>
        <v>279.92</v>
      </c>
      <c r="J99">
        <f t="shared" si="6"/>
        <v>112</v>
      </c>
      <c r="K99">
        <f t="shared" si="7"/>
        <v>167.92000000000002</v>
      </c>
      <c r="L99" s="2">
        <f t="shared" si="8"/>
        <v>0.59988568162332101</v>
      </c>
      <c r="M99" t="str">
        <f t="shared" si="9"/>
        <v>Mar-2025</v>
      </c>
    </row>
    <row r="100" spans="1:13" x14ac:dyDescent="0.3">
      <c r="A100" s="1">
        <v>45745</v>
      </c>
      <c r="B100" t="s">
        <v>37</v>
      </c>
      <c r="C100" t="s">
        <v>16</v>
      </c>
      <c r="D100" t="s">
        <v>36</v>
      </c>
      <c r="E100" t="s">
        <v>25</v>
      </c>
      <c r="F100">
        <v>30</v>
      </c>
      <c r="G100">
        <v>89.99</v>
      </c>
      <c r="H100">
        <v>45</v>
      </c>
      <c r="I100">
        <f t="shared" si="5"/>
        <v>2699.7</v>
      </c>
      <c r="J100">
        <f t="shared" si="6"/>
        <v>1350</v>
      </c>
      <c r="K100">
        <f t="shared" si="7"/>
        <v>1349.6999999999998</v>
      </c>
      <c r="L100" s="2">
        <f t="shared" si="8"/>
        <v>0.49994443827091894</v>
      </c>
      <c r="M100" t="str">
        <f t="shared" si="9"/>
        <v>Mar-2025</v>
      </c>
    </row>
    <row r="101" spans="1:13" x14ac:dyDescent="0.3">
      <c r="A101" s="1">
        <v>45746</v>
      </c>
      <c r="B101" t="s">
        <v>31</v>
      </c>
      <c r="C101" t="s">
        <v>32</v>
      </c>
      <c r="D101" t="s">
        <v>17</v>
      </c>
      <c r="E101" t="s">
        <v>11</v>
      </c>
      <c r="F101">
        <v>10</v>
      </c>
      <c r="G101">
        <v>179.99</v>
      </c>
      <c r="H101">
        <v>95</v>
      </c>
      <c r="I101">
        <f t="shared" si="5"/>
        <v>1799.9</v>
      </c>
      <c r="J101">
        <f t="shared" si="6"/>
        <v>950</v>
      </c>
      <c r="K101">
        <f t="shared" si="7"/>
        <v>849.90000000000009</v>
      </c>
      <c r="L101" s="2">
        <f t="shared" si="8"/>
        <v>0.47219289960553368</v>
      </c>
      <c r="M101" t="str">
        <f t="shared" si="9"/>
        <v>Mar-2025</v>
      </c>
    </row>
    <row r="102" spans="1:13" x14ac:dyDescent="0.3">
      <c r="A102" s="1">
        <v>45746</v>
      </c>
      <c r="B102" t="s">
        <v>27</v>
      </c>
      <c r="C102" t="s">
        <v>23</v>
      </c>
      <c r="D102" t="s">
        <v>10</v>
      </c>
      <c r="E102" t="s">
        <v>11</v>
      </c>
      <c r="F102">
        <v>5</v>
      </c>
      <c r="G102">
        <v>599.99</v>
      </c>
      <c r="H102">
        <v>360</v>
      </c>
      <c r="I102">
        <f t="shared" si="5"/>
        <v>2999.95</v>
      </c>
      <c r="J102">
        <f t="shared" si="6"/>
        <v>1800</v>
      </c>
      <c r="K102">
        <f t="shared" si="7"/>
        <v>1199.9499999999998</v>
      </c>
      <c r="L102" s="2">
        <f t="shared" si="8"/>
        <v>0.3999899998333305</v>
      </c>
      <c r="M102" t="str">
        <f t="shared" si="9"/>
        <v>Mar-2025</v>
      </c>
    </row>
    <row r="103" spans="1:13" x14ac:dyDescent="0.3">
      <c r="A103" s="1">
        <v>45749</v>
      </c>
      <c r="B103" t="s">
        <v>27</v>
      </c>
      <c r="C103" t="s">
        <v>23</v>
      </c>
      <c r="D103" t="s">
        <v>39</v>
      </c>
      <c r="E103" t="s">
        <v>25</v>
      </c>
      <c r="F103">
        <v>13</v>
      </c>
      <c r="G103">
        <v>149.99</v>
      </c>
      <c r="H103">
        <v>75</v>
      </c>
      <c r="I103">
        <f t="shared" si="5"/>
        <v>1949.8700000000001</v>
      </c>
      <c r="J103">
        <f t="shared" si="6"/>
        <v>975</v>
      </c>
      <c r="K103">
        <f t="shared" si="7"/>
        <v>974.87000000000012</v>
      </c>
      <c r="L103" s="2">
        <f t="shared" si="8"/>
        <v>0.49996666444429633</v>
      </c>
      <c r="M103" t="str">
        <f t="shared" si="9"/>
        <v>Apr-2025</v>
      </c>
    </row>
    <row r="104" spans="1:13" x14ac:dyDescent="0.3">
      <c r="A104" s="1">
        <v>45749</v>
      </c>
      <c r="B104" t="s">
        <v>15</v>
      </c>
      <c r="C104" t="s">
        <v>16</v>
      </c>
      <c r="D104" t="s">
        <v>33</v>
      </c>
      <c r="E104" t="s">
        <v>25</v>
      </c>
      <c r="F104">
        <v>2</v>
      </c>
      <c r="G104">
        <v>119.99</v>
      </c>
      <c r="H104">
        <v>60</v>
      </c>
      <c r="I104">
        <f t="shared" si="5"/>
        <v>239.98</v>
      </c>
      <c r="J104">
        <f t="shared" si="6"/>
        <v>120</v>
      </c>
      <c r="K104">
        <f t="shared" si="7"/>
        <v>119.97999999999999</v>
      </c>
      <c r="L104" s="2">
        <f t="shared" si="8"/>
        <v>0.49995832986082173</v>
      </c>
      <c r="M104" t="str">
        <f t="shared" si="9"/>
        <v>Apr-2025</v>
      </c>
    </row>
    <row r="105" spans="1:13" x14ac:dyDescent="0.3">
      <c r="A105" s="1">
        <v>45749</v>
      </c>
      <c r="B105" t="s">
        <v>18</v>
      </c>
      <c r="C105" t="s">
        <v>19</v>
      </c>
      <c r="D105" t="s">
        <v>35</v>
      </c>
      <c r="E105" t="s">
        <v>25</v>
      </c>
      <c r="F105">
        <v>7</v>
      </c>
      <c r="G105">
        <v>349.99</v>
      </c>
      <c r="H105">
        <v>210</v>
      </c>
      <c r="I105">
        <f t="shared" si="5"/>
        <v>2449.9300000000003</v>
      </c>
      <c r="J105">
        <f t="shared" si="6"/>
        <v>1470</v>
      </c>
      <c r="K105">
        <f t="shared" si="7"/>
        <v>979.93000000000029</v>
      </c>
      <c r="L105" s="2">
        <f t="shared" si="8"/>
        <v>0.39998285665304728</v>
      </c>
      <c r="M105" t="str">
        <f t="shared" si="9"/>
        <v>Apr-2025</v>
      </c>
    </row>
    <row r="106" spans="1:13" x14ac:dyDescent="0.3">
      <c r="A106" s="1">
        <v>45751</v>
      </c>
      <c r="B106" t="s">
        <v>18</v>
      </c>
      <c r="C106" t="s">
        <v>19</v>
      </c>
      <c r="D106" t="s">
        <v>17</v>
      </c>
      <c r="E106" t="s">
        <v>11</v>
      </c>
      <c r="F106">
        <v>5</v>
      </c>
      <c r="G106">
        <v>179.99</v>
      </c>
      <c r="H106">
        <v>95</v>
      </c>
      <c r="I106">
        <f t="shared" si="5"/>
        <v>899.95</v>
      </c>
      <c r="J106">
        <f t="shared" si="6"/>
        <v>475</v>
      </c>
      <c r="K106">
        <f t="shared" si="7"/>
        <v>424.95000000000005</v>
      </c>
      <c r="L106" s="2">
        <f t="shared" si="8"/>
        <v>0.47219289960553368</v>
      </c>
      <c r="M106" t="str">
        <f t="shared" si="9"/>
        <v>Apr-2025</v>
      </c>
    </row>
    <row r="107" spans="1:13" x14ac:dyDescent="0.3">
      <c r="A107" s="1">
        <v>45752</v>
      </c>
      <c r="B107" t="s">
        <v>31</v>
      </c>
      <c r="C107" t="s">
        <v>32</v>
      </c>
      <c r="D107" t="s">
        <v>24</v>
      </c>
      <c r="E107" t="s">
        <v>25</v>
      </c>
      <c r="F107">
        <v>15</v>
      </c>
      <c r="G107">
        <v>29.99</v>
      </c>
      <c r="H107">
        <v>12</v>
      </c>
      <c r="I107">
        <f t="shared" si="5"/>
        <v>449.84999999999997</v>
      </c>
      <c r="J107">
        <f t="shared" si="6"/>
        <v>180</v>
      </c>
      <c r="K107">
        <f t="shared" si="7"/>
        <v>269.84999999999997</v>
      </c>
      <c r="L107" s="2">
        <f t="shared" si="8"/>
        <v>0.59986662220740239</v>
      </c>
      <c r="M107" t="str">
        <f t="shared" si="9"/>
        <v>Apr-2025</v>
      </c>
    </row>
    <row r="108" spans="1:13" x14ac:dyDescent="0.3">
      <c r="A108" s="1">
        <v>45753</v>
      </c>
      <c r="B108" t="s">
        <v>15</v>
      </c>
      <c r="C108" t="s">
        <v>16</v>
      </c>
      <c r="D108" t="s">
        <v>29</v>
      </c>
      <c r="E108" t="s">
        <v>14</v>
      </c>
      <c r="F108">
        <v>10</v>
      </c>
      <c r="G108">
        <v>49.99</v>
      </c>
      <c r="H108">
        <v>22</v>
      </c>
      <c r="I108">
        <f t="shared" si="5"/>
        <v>499.90000000000003</v>
      </c>
      <c r="J108">
        <f t="shared" si="6"/>
        <v>220</v>
      </c>
      <c r="K108">
        <f t="shared" si="7"/>
        <v>279.90000000000003</v>
      </c>
      <c r="L108" s="2">
        <f t="shared" si="8"/>
        <v>0.55991198239647932</v>
      </c>
      <c r="M108" t="str">
        <f t="shared" si="9"/>
        <v>Apr-2025</v>
      </c>
    </row>
    <row r="109" spans="1:13" x14ac:dyDescent="0.3">
      <c r="A109" s="1">
        <v>45753</v>
      </c>
      <c r="B109" t="s">
        <v>27</v>
      </c>
      <c r="C109" t="s">
        <v>23</v>
      </c>
      <c r="D109" t="s">
        <v>34</v>
      </c>
      <c r="E109" t="s">
        <v>11</v>
      </c>
      <c r="F109">
        <v>2</v>
      </c>
      <c r="G109">
        <v>299.99</v>
      </c>
      <c r="H109">
        <v>160</v>
      </c>
      <c r="I109">
        <f t="shared" si="5"/>
        <v>599.98</v>
      </c>
      <c r="J109">
        <f t="shared" si="6"/>
        <v>320</v>
      </c>
      <c r="K109">
        <f t="shared" si="7"/>
        <v>279.98</v>
      </c>
      <c r="L109" s="2">
        <f t="shared" si="8"/>
        <v>0.46664888829627654</v>
      </c>
      <c r="M109" t="str">
        <f t="shared" si="9"/>
        <v>Apr-2025</v>
      </c>
    </row>
    <row r="110" spans="1:13" x14ac:dyDescent="0.3">
      <c r="A110" s="1">
        <v>45753</v>
      </c>
      <c r="B110" t="s">
        <v>18</v>
      </c>
      <c r="C110" t="s">
        <v>19</v>
      </c>
      <c r="D110" t="s">
        <v>29</v>
      </c>
      <c r="E110" t="s">
        <v>14</v>
      </c>
      <c r="F110">
        <v>25</v>
      </c>
      <c r="G110">
        <v>49.99</v>
      </c>
      <c r="H110">
        <v>22</v>
      </c>
      <c r="I110">
        <f t="shared" si="5"/>
        <v>1249.75</v>
      </c>
      <c r="J110">
        <f t="shared" si="6"/>
        <v>550</v>
      </c>
      <c r="K110">
        <f t="shared" si="7"/>
        <v>699.75</v>
      </c>
      <c r="L110" s="2">
        <f t="shared" si="8"/>
        <v>0.55991198239647932</v>
      </c>
      <c r="M110" t="str">
        <f t="shared" si="9"/>
        <v>Apr-2025</v>
      </c>
    </row>
    <row r="111" spans="1:13" x14ac:dyDescent="0.3">
      <c r="A111" s="1">
        <v>45753</v>
      </c>
      <c r="B111" t="s">
        <v>15</v>
      </c>
      <c r="C111" t="s">
        <v>16</v>
      </c>
      <c r="D111" t="s">
        <v>28</v>
      </c>
      <c r="E111" t="s">
        <v>21</v>
      </c>
      <c r="F111">
        <v>46</v>
      </c>
      <c r="G111">
        <v>79.989999999999995</v>
      </c>
      <c r="H111">
        <v>40</v>
      </c>
      <c r="I111">
        <f t="shared" si="5"/>
        <v>3679.54</v>
      </c>
      <c r="J111">
        <f t="shared" si="6"/>
        <v>1840</v>
      </c>
      <c r="K111">
        <f t="shared" si="7"/>
        <v>1839.54</v>
      </c>
      <c r="L111" s="2">
        <f t="shared" si="8"/>
        <v>0.49993749218652334</v>
      </c>
      <c r="M111" t="str">
        <f t="shared" si="9"/>
        <v>Apr-2025</v>
      </c>
    </row>
    <row r="112" spans="1:13" x14ac:dyDescent="0.3">
      <c r="A112" s="1">
        <v>45754</v>
      </c>
      <c r="B112" t="s">
        <v>8</v>
      </c>
      <c r="C112" t="s">
        <v>9</v>
      </c>
      <c r="D112" t="s">
        <v>33</v>
      </c>
      <c r="E112" t="s">
        <v>25</v>
      </c>
      <c r="F112">
        <v>4</v>
      </c>
      <c r="G112">
        <v>119.99</v>
      </c>
      <c r="H112">
        <v>60</v>
      </c>
      <c r="I112">
        <f t="shared" si="5"/>
        <v>479.96</v>
      </c>
      <c r="J112">
        <f t="shared" si="6"/>
        <v>240</v>
      </c>
      <c r="K112">
        <f t="shared" si="7"/>
        <v>239.95999999999998</v>
      </c>
      <c r="L112" s="2">
        <f t="shared" si="8"/>
        <v>0.49995832986082173</v>
      </c>
      <c r="M112" t="str">
        <f t="shared" si="9"/>
        <v>Apr-2025</v>
      </c>
    </row>
    <row r="113" spans="1:13" x14ac:dyDescent="0.3">
      <c r="A113" s="1">
        <v>45754</v>
      </c>
      <c r="B113" t="s">
        <v>18</v>
      </c>
      <c r="C113" t="s">
        <v>19</v>
      </c>
      <c r="D113" t="s">
        <v>39</v>
      </c>
      <c r="E113" t="s">
        <v>25</v>
      </c>
      <c r="F113">
        <v>9</v>
      </c>
      <c r="G113">
        <v>149.99</v>
      </c>
      <c r="H113">
        <v>75</v>
      </c>
      <c r="I113">
        <f t="shared" si="5"/>
        <v>1349.91</v>
      </c>
      <c r="J113">
        <f t="shared" si="6"/>
        <v>675</v>
      </c>
      <c r="K113">
        <f t="shared" si="7"/>
        <v>674.91000000000008</v>
      </c>
      <c r="L113" s="2">
        <f t="shared" si="8"/>
        <v>0.49996666444429633</v>
      </c>
      <c r="M113" t="str">
        <f t="shared" si="9"/>
        <v>Apr-2025</v>
      </c>
    </row>
    <row r="114" spans="1:13" x14ac:dyDescent="0.3">
      <c r="A114" s="1">
        <v>45755</v>
      </c>
      <c r="B114" t="s">
        <v>37</v>
      </c>
      <c r="C114" t="s">
        <v>16</v>
      </c>
      <c r="D114" t="s">
        <v>10</v>
      </c>
      <c r="E114" t="s">
        <v>11</v>
      </c>
      <c r="F114">
        <v>2</v>
      </c>
      <c r="G114">
        <v>599.99</v>
      </c>
      <c r="H114">
        <v>360</v>
      </c>
      <c r="I114">
        <f t="shared" si="5"/>
        <v>1199.98</v>
      </c>
      <c r="J114">
        <f t="shared" si="6"/>
        <v>720</v>
      </c>
      <c r="K114">
        <f t="shared" si="7"/>
        <v>479.98</v>
      </c>
      <c r="L114" s="2">
        <f t="shared" si="8"/>
        <v>0.39998999983333056</v>
      </c>
      <c r="M114" t="str">
        <f t="shared" si="9"/>
        <v>Apr-2025</v>
      </c>
    </row>
    <row r="115" spans="1:13" x14ac:dyDescent="0.3">
      <c r="A115" s="1">
        <v>45756</v>
      </c>
      <c r="B115" t="s">
        <v>8</v>
      </c>
      <c r="C115" t="s">
        <v>9</v>
      </c>
      <c r="D115" t="s">
        <v>26</v>
      </c>
      <c r="E115" t="s">
        <v>25</v>
      </c>
      <c r="F115">
        <v>1</v>
      </c>
      <c r="G115">
        <v>1250</v>
      </c>
      <c r="H115">
        <v>850</v>
      </c>
      <c r="I115">
        <f t="shared" si="5"/>
        <v>1250</v>
      </c>
      <c r="J115">
        <f t="shared" si="6"/>
        <v>850</v>
      </c>
      <c r="K115">
        <f t="shared" si="7"/>
        <v>400</v>
      </c>
      <c r="L115" s="2">
        <f t="shared" si="8"/>
        <v>0.32</v>
      </c>
      <c r="M115" t="str">
        <f t="shared" si="9"/>
        <v>Apr-2025</v>
      </c>
    </row>
    <row r="116" spans="1:13" x14ac:dyDescent="0.3">
      <c r="A116" s="1">
        <v>45756</v>
      </c>
      <c r="B116" t="s">
        <v>22</v>
      </c>
      <c r="C116" t="s">
        <v>23</v>
      </c>
      <c r="D116" t="s">
        <v>39</v>
      </c>
      <c r="E116" t="s">
        <v>25</v>
      </c>
      <c r="F116">
        <v>5</v>
      </c>
      <c r="G116">
        <v>149.99</v>
      </c>
      <c r="H116">
        <v>75</v>
      </c>
      <c r="I116">
        <f t="shared" si="5"/>
        <v>749.95</v>
      </c>
      <c r="J116">
        <f t="shared" si="6"/>
        <v>375</v>
      </c>
      <c r="K116">
        <f t="shared" si="7"/>
        <v>374.95000000000005</v>
      </c>
      <c r="L116" s="2">
        <f t="shared" si="8"/>
        <v>0.49996666444429633</v>
      </c>
      <c r="M116" t="str">
        <f t="shared" si="9"/>
        <v>Apr-2025</v>
      </c>
    </row>
    <row r="117" spans="1:13" x14ac:dyDescent="0.3">
      <c r="A117" s="1">
        <v>45756</v>
      </c>
      <c r="B117" t="s">
        <v>18</v>
      </c>
      <c r="C117" t="s">
        <v>19</v>
      </c>
      <c r="D117" t="s">
        <v>33</v>
      </c>
      <c r="E117" t="s">
        <v>25</v>
      </c>
      <c r="F117">
        <v>9</v>
      </c>
      <c r="G117">
        <v>119.99</v>
      </c>
      <c r="H117">
        <v>60</v>
      </c>
      <c r="I117">
        <f t="shared" si="5"/>
        <v>1079.9099999999999</v>
      </c>
      <c r="J117">
        <f t="shared" si="6"/>
        <v>540</v>
      </c>
      <c r="K117">
        <f t="shared" si="7"/>
        <v>539.90999999999985</v>
      </c>
      <c r="L117" s="2">
        <f t="shared" si="8"/>
        <v>0.49995832986082167</v>
      </c>
      <c r="M117" t="str">
        <f t="shared" si="9"/>
        <v>Apr-2025</v>
      </c>
    </row>
    <row r="118" spans="1:13" x14ac:dyDescent="0.3">
      <c r="A118" s="1">
        <v>45756</v>
      </c>
      <c r="B118" t="s">
        <v>27</v>
      </c>
      <c r="C118" t="s">
        <v>23</v>
      </c>
      <c r="D118" t="s">
        <v>39</v>
      </c>
      <c r="E118" t="s">
        <v>25</v>
      </c>
      <c r="F118">
        <v>6</v>
      </c>
      <c r="G118">
        <v>149.99</v>
      </c>
      <c r="H118">
        <v>75</v>
      </c>
      <c r="I118">
        <f t="shared" si="5"/>
        <v>899.94</v>
      </c>
      <c r="J118">
        <f t="shared" si="6"/>
        <v>450</v>
      </c>
      <c r="K118">
        <f t="shared" si="7"/>
        <v>449.94000000000005</v>
      </c>
      <c r="L118" s="2">
        <f t="shared" si="8"/>
        <v>0.49996666444429633</v>
      </c>
      <c r="M118" t="str">
        <f t="shared" si="9"/>
        <v>Apr-2025</v>
      </c>
    </row>
    <row r="119" spans="1:13" x14ac:dyDescent="0.3">
      <c r="A119" s="1">
        <v>45756</v>
      </c>
      <c r="B119" t="s">
        <v>12</v>
      </c>
      <c r="C119" t="s">
        <v>9</v>
      </c>
      <c r="D119" t="s">
        <v>33</v>
      </c>
      <c r="E119" t="s">
        <v>25</v>
      </c>
      <c r="F119">
        <v>10</v>
      </c>
      <c r="G119">
        <v>119.99</v>
      </c>
      <c r="H119">
        <v>60</v>
      </c>
      <c r="I119">
        <f t="shared" si="5"/>
        <v>1199.8999999999999</v>
      </c>
      <c r="J119">
        <f t="shared" si="6"/>
        <v>600</v>
      </c>
      <c r="K119">
        <f t="shared" si="7"/>
        <v>599.89999999999986</v>
      </c>
      <c r="L119" s="2">
        <f t="shared" si="8"/>
        <v>0.49995832986082167</v>
      </c>
      <c r="M119" t="str">
        <f t="shared" si="9"/>
        <v>Apr-2025</v>
      </c>
    </row>
    <row r="120" spans="1:13" x14ac:dyDescent="0.3">
      <c r="A120" s="1">
        <v>45756</v>
      </c>
      <c r="B120" t="s">
        <v>8</v>
      </c>
      <c r="C120" t="s">
        <v>9</v>
      </c>
      <c r="D120" t="s">
        <v>33</v>
      </c>
      <c r="E120" t="s">
        <v>25</v>
      </c>
      <c r="F120">
        <v>12</v>
      </c>
      <c r="G120">
        <v>119.99</v>
      </c>
      <c r="H120">
        <v>60</v>
      </c>
      <c r="I120">
        <f t="shared" si="5"/>
        <v>1439.8799999999999</v>
      </c>
      <c r="J120">
        <f t="shared" si="6"/>
        <v>720</v>
      </c>
      <c r="K120">
        <f t="shared" si="7"/>
        <v>719.87999999999988</v>
      </c>
      <c r="L120" s="2">
        <f t="shared" si="8"/>
        <v>0.49995832986082167</v>
      </c>
      <c r="M120" t="str">
        <f t="shared" si="9"/>
        <v>Apr-2025</v>
      </c>
    </row>
    <row r="121" spans="1:13" x14ac:dyDescent="0.3">
      <c r="A121" s="1">
        <v>45757</v>
      </c>
      <c r="B121" t="s">
        <v>22</v>
      </c>
      <c r="C121" t="s">
        <v>23</v>
      </c>
      <c r="D121" t="s">
        <v>38</v>
      </c>
      <c r="E121" t="s">
        <v>11</v>
      </c>
      <c r="F121">
        <v>5</v>
      </c>
      <c r="G121">
        <v>850</v>
      </c>
      <c r="H121">
        <v>520</v>
      </c>
      <c r="I121">
        <f t="shared" si="5"/>
        <v>4250</v>
      </c>
      <c r="J121">
        <f t="shared" si="6"/>
        <v>2600</v>
      </c>
      <c r="K121">
        <f t="shared" si="7"/>
        <v>1650</v>
      </c>
      <c r="L121" s="2">
        <f t="shared" si="8"/>
        <v>0.38823529411764707</v>
      </c>
      <c r="M121" t="str">
        <f t="shared" si="9"/>
        <v>Apr-2025</v>
      </c>
    </row>
    <row r="122" spans="1:13" x14ac:dyDescent="0.3">
      <c r="A122" s="1">
        <v>45757</v>
      </c>
      <c r="B122" t="s">
        <v>31</v>
      </c>
      <c r="C122" t="s">
        <v>32</v>
      </c>
      <c r="D122" t="s">
        <v>35</v>
      </c>
      <c r="E122" t="s">
        <v>25</v>
      </c>
      <c r="F122">
        <v>10</v>
      </c>
      <c r="G122">
        <v>349.99</v>
      </c>
      <c r="H122">
        <v>210</v>
      </c>
      <c r="I122">
        <f t="shared" si="5"/>
        <v>3499.9</v>
      </c>
      <c r="J122">
        <f t="shared" si="6"/>
        <v>2100</v>
      </c>
      <c r="K122">
        <f t="shared" si="7"/>
        <v>1399.9</v>
      </c>
      <c r="L122" s="2">
        <f t="shared" si="8"/>
        <v>0.39998285665304723</v>
      </c>
      <c r="M122" t="str">
        <f t="shared" si="9"/>
        <v>Apr-2025</v>
      </c>
    </row>
    <row r="123" spans="1:13" x14ac:dyDescent="0.3">
      <c r="A123" s="1">
        <v>45757</v>
      </c>
      <c r="B123" t="s">
        <v>31</v>
      </c>
      <c r="C123" t="s">
        <v>32</v>
      </c>
      <c r="D123" t="s">
        <v>20</v>
      </c>
      <c r="E123" t="s">
        <v>21</v>
      </c>
      <c r="F123">
        <v>26</v>
      </c>
      <c r="G123">
        <v>24.99</v>
      </c>
      <c r="H123">
        <v>10</v>
      </c>
      <c r="I123">
        <f t="shared" si="5"/>
        <v>649.74</v>
      </c>
      <c r="J123">
        <f t="shared" si="6"/>
        <v>260</v>
      </c>
      <c r="K123">
        <f t="shared" si="7"/>
        <v>389.74</v>
      </c>
      <c r="L123" s="2">
        <f t="shared" si="8"/>
        <v>0.59983993597438978</v>
      </c>
      <c r="M123" t="str">
        <f t="shared" si="9"/>
        <v>Apr-2025</v>
      </c>
    </row>
    <row r="124" spans="1:13" x14ac:dyDescent="0.3">
      <c r="A124" s="1">
        <v>45758</v>
      </c>
      <c r="B124" t="s">
        <v>27</v>
      </c>
      <c r="C124" t="s">
        <v>23</v>
      </c>
      <c r="D124" t="s">
        <v>29</v>
      </c>
      <c r="E124" t="s">
        <v>14</v>
      </c>
      <c r="F124">
        <v>25</v>
      </c>
      <c r="G124">
        <v>49.99</v>
      </c>
      <c r="H124">
        <v>22</v>
      </c>
      <c r="I124">
        <f t="shared" si="5"/>
        <v>1249.75</v>
      </c>
      <c r="J124">
        <f t="shared" si="6"/>
        <v>550</v>
      </c>
      <c r="K124">
        <f t="shared" si="7"/>
        <v>699.75</v>
      </c>
      <c r="L124" s="2">
        <f t="shared" si="8"/>
        <v>0.55991198239647932</v>
      </c>
      <c r="M124" t="str">
        <f t="shared" si="9"/>
        <v>Apr-2025</v>
      </c>
    </row>
    <row r="125" spans="1:13" x14ac:dyDescent="0.3">
      <c r="A125" s="1">
        <v>45758</v>
      </c>
      <c r="B125" t="s">
        <v>18</v>
      </c>
      <c r="C125" t="s">
        <v>19</v>
      </c>
      <c r="D125" t="s">
        <v>20</v>
      </c>
      <c r="E125" t="s">
        <v>21</v>
      </c>
      <c r="F125">
        <v>31</v>
      </c>
      <c r="G125">
        <v>24.99</v>
      </c>
      <c r="H125">
        <v>10</v>
      </c>
      <c r="I125">
        <f t="shared" si="5"/>
        <v>774.68999999999994</v>
      </c>
      <c r="J125">
        <f t="shared" si="6"/>
        <v>310</v>
      </c>
      <c r="K125">
        <f t="shared" si="7"/>
        <v>464.68999999999994</v>
      </c>
      <c r="L125" s="2">
        <f t="shared" si="8"/>
        <v>0.59983993597438967</v>
      </c>
      <c r="M125" t="str">
        <f t="shared" si="9"/>
        <v>Apr-2025</v>
      </c>
    </row>
    <row r="126" spans="1:13" x14ac:dyDescent="0.3">
      <c r="A126" s="1">
        <v>45758</v>
      </c>
      <c r="B126" t="s">
        <v>15</v>
      </c>
      <c r="C126" t="s">
        <v>16</v>
      </c>
      <c r="D126" t="s">
        <v>20</v>
      </c>
      <c r="E126" t="s">
        <v>21</v>
      </c>
      <c r="F126">
        <v>35</v>
      </c>
      <c r="G126">
        <v>24.99</v>
      </c>
      <c r="H126">
        <v>10</v>
      </c>
      <c r="I126">
        <f t="shared" si="5"/>
        <v>874.65</v>
      </c>
      <c r="J126">
        <f t="shared" si="6"/>
        <v>350</v>
      </c>
      <c r="K126">
        <f t="shared" si="7"/>
        <v>524.65</v>
      </c>
      <c r="L126" s="2">
        <f t="shared" si="8"/>
        <v>0.59983993597438978</v>
      </c>
      <c r="M126" t="str">
        <f t="shared" si="9"/>
        <v>Apr-2025</v>
      </c>
    </row>
    <row r="127" spans="1:13" x14ac:dyDescent="0.3">
      <c r="A127" s="1">
        <v>45760</v>
      </c>
      <c r="B127" t="s">
        <v>18</v>
      </c>
      <c r="C127" t="s">
        <v>19</v>
      </c>
      <c r="D127" t="s">
        <v>20</v>
      </c>
      <c r="E127" t="s">
        <v>21</v>
      </c>
      <c r="F127">
        <v>10</v>
      </c>
      <c r="G127">
        <v>24.99</v>
      </c>
      <c r="H127">
        <v>10</v>
      </c>
      <c r="I127">
        <f t="shared" si="5"/>
        <v>249.89999999999998</v>
      </c>
      <c r="J127">
        <f t="shared" si="6"/>
        <v>100</v>
      </c>
      <c r="K127">
        <f t="shared" si="7"/>
        <v>149.89999999999998</v>
      </c>
      <c r="L127" s="2">
        <f t="shared" si="8"/>
        <v>0.59983993597438967</v>
      </c>
      <c r="M127" t="str">
        <f t="shared" si="9"/>
        <v>Apr-2025</v>
      </c>
    </row>
    <row r="128" spans="1:13" x14ac:dyDescent="0.3">
      <c r="A128" s="1">
        <v>45760</v>
      </c>
      <c r="B128" t="s">
        <v>27</v>
      </c>
      <c r="C128" t="s">
        <v>23</v>
      </c>
      <c r="D128" t="s">
        <v>30</v>
      </c>
      <c r="E128" t="s">
        <v>21</v>
      </c>
      <c r="F128">
        <v>31</v>
      </c>
      <c r="G128">
        <v>89.99</v>
      </c>
      <c r="H128">
        <v>42</v>
      </c>
      <c r="I128">
        <f t="shared" si="5"/>
        <v>2789.69</v>
      </c>
      <c r="J128">
        <f t="shared" si="6"/>
        <v>1302</v>
      </c>
      <c r="K128">
        <f t="shared" si="7"/>
        <v>1487.69</v>
      </c>
      <c r="L128" s="2">
        <f t="shared" si="8"/>
        <v>0.53328147571952444</v>
      </c>
      <c r="M128" t="str">
        <f t="shared" si="9"/>
        <v>Apr-2025</v>
      </c>
    </row>
    <row r="129" spans="1:13" x14ac:dyDescent="0.3">
      <c r="A129" s="1">
        <v>45760</v>
      </c>
      <c r="B129" t="s">
        <v>31</v>
      </c>
      <c r="C129" t="s">
        <v>32</v>
      </c>
      <c r="D129" t="s">
        <v>34</v>
      </c>
      <c r="E129" t="s">
        <v>11</v>
      </c>
      <c r="F129">
        <v>8</v>
      </c>
      <c r="G129">
        <v>299.99</v>
      </c>
      <c r="H129">
        <v>160</v>
      </c>
      <c r="I129">
        <f t="shared" si="5"/>
        <v>2399.92</v>
      </c>
      <c r="J129">
        <f t="shared" si="6"/>
        <v>1280</v>
      </c>
      <c r="K129">
        <f t="shared" si="7"/>
        <v>1119.92</v>
      </c>
      <c r="L129" s="2">
        <f t="shared" si="8"/>
        <v>0.46664888829627654</v>
      </c>
      <c r="M129" t="str">
        <f t="shared" si="9"/>
        <v>Apr-2025</v>
      </c>
    </row>
    <row r="130" spans="1:13" x14ac:dyDescent="0.3">
      <c r="A130" s="1">
        <v>45761</v>
      </c>
      <c r="B130" t="s">
        <v>18</v>
      </c>
      <c r="C130" t="s">
        <v>19</v>
      </c>
      <c r="D130" t="s">
        <v>38</v>
      </c>
      <c r="E130" t="s">
        <v>11</v>
      </c>
      <c r="F130">
        <v>2</v>
      </c>
      <c r="G130">
        <v>850</v>
      </c>
      <c r="H130">
        <v>520</v>
      </c>
      <c r="I130">
        <f t="shared" si="5"/>
        <v>1700</v>
      </c>
      <c r="J130">
        <f t="shared" si="6"/>
        <v>1040</v>
      </c>
      <c r="K130">
        <f t="shared" si="7"/>
        <v>660</v>
      </c>
      <c r="L130" s="2">
        <f t="shared" si="8"/>
        <v>0.38823529411764707</v>
      </c>
      <c r="M130" t="str">
        <f t="shared" si="9"/>
        <v>Apr-2025</v>
      </c>
    </row>
    <row r="131" spans="1:13" x14ac:dyDescent="0.3">
      <c r="A131" s="1">
        <v>45761</v>
      </c>
      <c r="B131" t="s">
        <v>31</v>
      </c>
      <c r="C131" t="s">
        <v>32</v>
      </c>
      <c r="D131" t="s">
        <v>10</v>
      </c>
      <c r="E131" t="s">
        <v>11</v>
      </c>
      <c r="F131">
        <v>4</v>
      </c>
      <c r="G131">
        <v>599.99</v>
      </c>
      <c r="H131">
        <v>360</v>
      </c>
      <c r="I131">
        <f t="shared" ref="I131:I194" si="10">F131*G131</f>
        <v>2399.96</v>
      </c>
      <c r="J131">
        <f t="shared" ref="J131:J194" si="11">F131*H131</f>
        <v>1440</v>
      </c>
      <c r="K131">
        <f t="shared" ref="K131:K194" si="12">I131-J131</f>
        <v>959.96</v>
      </c>
      <c r="L131" s="2">
        <f t="shared" ref="L131:L194" si="13">K131/I131</f>
        <v>0.39998999983333056</v>
      </c>
      <c r="M131" t="str">
        <f t="shared" ref="M131:M194" si="14">TEXT(A131,"mmm-yyyy")</f>
        <v>Apr-2025</v>
      </c>
    </row>
    <row r="132" spans="1:13" x14ac:dyDescent="0.3">
      <c r="A132" s="1">
        <v>45763</v>
      </c>
      <c r="B132" t="s">
        <v>8</v>
      </c>
      <c r="C132" t="s">
        <v>9</v>
      </c>
      <c r="D132" t="s">
        <v>38</v>
      </c>
      <c r="E132" t="s">
        <v>11</v>
      </c>
      <c r="F132">
        <v>5</v>
      </c>
      <c r="G132">
        <v>850</v>
      </c>
      <c r="H132">
        <v>520</v>
      </c>
      <c r="I132">
        <f t="shared" si="10"/>
        <v>4250</v>
      </c>
      <c r="J132">
        <f t="shared" si="11"/>
        <v>2600</v>
      </c>
      <c r="K132">
        <f t="shared" si="12"/>
        <v>1650</v>
      </c>
      <c r="L132" s="2">
        <f t="shared" si="13"/>
        <v>0.38823529411764707</v>
      </c>
      <c r="M132" t="str">
        <f t="shared" si="14"/>
        <v>Apr-2025</v>
      </c>
    </row>
    <row r="133" spans="1:13" x14ac:dyDescent="0.3">
      <c r="A133" s="1">
        <v>45763</v>
      </c>
      <c r="B133" t="s">
        <v>22</v>
      </c>
      <c r="C133" t="s">
        <v>23</v>
      </c>
      <c r="D133" t="s">
        <v>36</v>
      </c>
      <c r="E133" t="s">
        <v>25</v>
      </c>
      <c r="F133">
        <v>11</v>
      </c>
      <c r="G133">
        <v>89.99</v>
      </c>
      <c r="H133">
        <v>45</v>
      </c>
      <c r="I133">
        <f t="shared" si="10"/>
        <v>989.89</v>
      </c>
      <c r="J133">
        <f t="shared" si="11"/>
        <v>495</v>
      </c>
      <c r="K133">
        <f t="shared" si="12"/>
        <v>494.89</v>
      </c>
      <c r="L133" s="2">
        <f t="shared" si="13"/>
        <v>0.499944438270919</v>
      </c>
      <c r="M133" t="str">
        <f t="shared" si="14"/>
        <v>Apr-2025</v>
      </c>
    </row>
    <row r="134" spans="1:13" x14ac:dyDescent="0.3">
      <c r="A134" s="1">
        <v>45764</v>
      </c>
      <c r="B134" t="s">
        <v>15</v>
      </c>
      <c r="C134" t="s">
        <v>16</v>
      </c>
      <c r="D134" t="s">
        <v>36</v>
      </c>
      <c r="E134" t="s">
        <v>25</v>
      </c>
      <c r="F134">
        <v>14</v>
      </c>
      <c r="G134">
        <v>89.99</v>
      </c>
      <c r="H134">
        <v>45</v>
      </c>
      <c r="I134">
        <f t="shared" si="10"/>
        <v>1259.8599999999999</v>
      </c>
      <c r="J134">
        <f t="shared" si="11"/>
        <v>630</v>
      </c>
      <c r="K134">
        <f t="shared" si="12"/>
        <v>629.8599999999999</v>
      </c>
      <c r="L134" s="2">
        <f t="shared" si="13"/>
        <v>0.49994443827091894</v>
      </c>
      <c r="M134" t="str">
        <f t="shared" si="14"/>
        <v>Apr-2025</v>
      </c>
    </row>
    <row r="135" spans="1:13" x14ac:dyDescent="0.3">
      <c r="A135" s="1">
        <v>45765</v>
      </c>
      <c r="B135" t="s">
        <v>8</v>
      </c>
      <c r="C135" t="s">
        <v>9</v>
      </c>
      <c r="D135" t="s">
        <v>30</v>
      </c>
      <c r="E135" t="s">
        <v>21</v>
      </c>
      <c r="F135">
        <v>49</v>
      </c>
      <c r="G135">
        <v>89.99</v>
      </c>
      <c r="H135">
        <v>42</v>
      </c>
      <c r="I135">
        <f t="shared" si="10"/>
        <v>4409.5099999999993</v>
      </c>
      <c r="J135">
        <f t="shared" si="11"/>
        <v>2058</v>
      </c>
      <c r="K135">
        <f t="shared" si="12"/>
        <v>2351.5099999999993</v>
      </c>
      <c r="L135" s="2">
        <f t="shared" si="13"/>
        <v>0.53328147571952433</v>
      </c>
      <c r="M135" t="str">
        <f t="shared" si="14"/>
        <v>Apr-2025</v>
      </c>
    </row>
    <row r="136" spans="1:13" x14ac:dyDescent="0.3">
      <c r="A136" s="1">
        <v>45765</v>
      </c>
      <c r="B136" t="s">
        <v>31</v>
      </c>
      <c r="C136" t="s">
        <v>32</v>
      </c>
      <c r="D136" t="s">
        <v>34</v>
      </c>
      <c r="E136" t="s">
        <v>11</v>
      </c>
      <c r="F136">
        <v>1</v>
      </c>
      <c r="G136">
        <v>299.99</v>
      </c>
      <c r="H136">
        <v>160</v>
      </c>
      <c r="I136">
        <f t="shared" si="10"/>
        <v>299.99</v>
      </c>
      <c r="J136">
        <f t="shared" si="11"/>
        <v>160</v>
      </c>
      <c r="K136">
        <f t="shared" si="12"/>
        <v>139.99</v>
      </c>
      <c r="L136" s="2">
        <f t="shared" si="13"/>
        <v>0.46664888829627654</v>
      </c>
      <c r="M136" t="str">
        <f t="shared" si="14"/>
        <v>Apr-2025</v>
      </c>
    </row>
    <row r="137" spans="1:13" x14ac:dyDescent="0.3">
      <c r="A137" s="1">
        <v>45769</v>
      </c>
      <c r="B137" t="s">
        <v>31</v>
      </c>
      <c r="C137" t="s">
        <v>32</v>
      </c>
      <c r="D137" t="s">
        <v>39</v>
      </c>
      <c r="E137" t="s">
        <v>25</v>
      </c>
      <c r="F137">
        <v>10</v>
      </c>
      <c r="G137">
        <v>149.99</v>
      </c>
      <c r="H137">
        <v>75</v>
      </c>
      <c r="I137">
        <f t="shared" si="10"/>
        <v>1499.9</v>
      </c>
      <c r="J137">
        <f t="shared" si="11"/>
        <v>750</v>
      </c>
      <c r="K137">
        <f t="shared" si="12"/>
        <v>749.90000000000009</v>
      </c>
      <c r="L137" s="2">
        <f t="shared" si="13"/>
        <v>0.49996666444429633</v>
      </c>
      <c r="M137" t="str">
        <f t="shared" si="14"/>
        <v>Apr-2025</v>
      </c>
    </row>
    <row r="138" spans="1:13" x14ac:dyDescent="0.3">
      <c r="A138" s="1">
        <v>45769</v>
      </c>
      <c r="B138" t="s">
        <v>12</v>
      </c>
      <c r="C138" t="s">
        <v>9</v>
      </c>
      <c r="D138" t="s">
        <v>35</v>
      </c>
      <c r="E138" t="s">
        <v>25</v>
      </c>
      <c r="F138">
        <v>5</v>
      </c>
      <c r="G138">
        <v>349.99</v>
      </c>
      <c r="H138">
        <v>210</v>
      </c>
      <c r="I138">
        <f t="shared" si="10"/>
        <v>1749.95</v>
      </c>
      <c r="J138">
        <f t="shared" si="11"/>
        <v>1050</v>
      </c>
      <c r="K138">
        <f t="shared" si="12"/>
        <v>699.95</v>
      </c>
      <c r="L138" s="2">
        <f t="shared" si="13"/>
        <v>0.39998285665304723</v>
      </c>
      <c r="M138" t="str">
        <f t="shared" si="14"/>
        <v>Apr-2025</v>
      </c>
    </row>
    <row r="139" spans="1:13" x14ac:dyDescent="0.3">
      <c r="A139" s="1">
        <v>45770</v>
      </c>
      <c r="B139" t="s">
        <v>12</v>
      </c>
      <c r="C139" t="s">
        <v>9</v>
      </c>
      <c r="D139" t="s">
        <v>34</v>
      </c>
      <c r="E139" t="s">
        <v>11</v>
      </c>
      <c r="F139">
        <v>12</v>
      </c>
      <c r="G139">
        <v>299.99</v>
      </c>
      <c r="H139">
        <v>160</v>
      </c>
      <c r="I139">
        <f t="shared" si="10"/>
        <v>3599.88</v>
      </c>
      <c r="J139">
        <f t="shared" si="11"/>
        <v>1920</v>
      </c>
      <c r="K139">
        <f t="shared" si="12"/>
        <v>1679.88</v>
      </c>
      <c r="L139" s="2">
        <f t="shared" si="13"/>
        <v>0.46664888829627654</v>
      </c>
      <c r="M139" t="str">
        <f t="shared" si="14"/>
        <v>Apr-2025</v>
      </c>
    </row>
    <row r="140" spans="1:13" x14ac:dyDescent="0.3">
      <c r="A140" s="1">
        <v>45770</v>
      </c>
      <c r="B140" t="s">
        <v>8</v>
      </c>
      <c r="C140" t="s">
        <v>9</v>
      </c>
      <c r="D140" t="s">
        <v>30</v>
      </c>
      <c r="E140" t="s">
        <v>21</v>
      </c>
      <c r="F140">
        <v>6</v>
      </c>
      <c r="G140">
        <v>89.99</v>
      </c>
      <c r="H140">
        <v>42</v>
      </c>
      <c r="I140">
        <f t="shared" si="10"/>
        <v>539.93999999999994</v>
      </c>
      <c r="J140">
        <f t="shared" si="11"/>
        <v>252</v>
      </c>
      <c r="K140">
        <f t="shared" si="12"/>
        <v>287.93999999999994</v>
      </c>
      <c r="L140" s="2">
        <f t="shared" si="13"/>
        <v>0.53328147571952433</v>
      </c>
      <c r="M140" t="str">
        <f t="shared" si="14"/>
        <v>Apr-2025</v>
      </c>
    </row>
    <row r="141" spans="1:13" x14ac:dyDescent="0.3">
      <c r="A141" s="1">
        <v>45770</v>
      </c>
      <c r="B141" t="s">
        <v>37</v>
      </c>
      <c r="C141" t="s">
        <v>16</v>
      </c>
      <c r="D141" t="s">
        <v>33</v>
      </c>
      <c r="E141" t="s">
        <v>25</v>
      </c>
      <c r="F141">
        <v>12</v>
      </c>
      <c r="G141">
        <v>119.99</v>
      </c>
      <c r="H141">
        <v>60</v>
      </c>
      <c r="I141">
        <f t="shared" si="10"/>
        <v>1439.8799999999999</v>
      </c>
      <c r="J141">
        <f t="shared" si="11"/>
        <v>720</v>
      </c>
      <c r="K141">
        <f t="shared" si="12"/>
        <v>719.87999999999988</v>
      </c>
      <c r="L141" s="2">
        <f t="shared" si="13"/>
        <v>0.49995832986082167</v>
      </c>
      <c r="M141" t="str">
        <f t="shared" si="14"/>
        <v>Apr-2025</v>
      </c>
    </row>
    <row r="142" spans="1:13" x14ac:dyDescent="0.3">
      <c r="A142" s="1">
        <v>45770</v>
      </c>
      <c r="B142" t="s">
        <v>8</v>
      </c>
      <c r="C142" t="s">
        <v>9</v>
      </c>
      <c r="D142" t="s">
        <v>24</v>
      </c>
      <c r="E142" t="s">
        <v>25</v>
      </c>
      <c r="F142">
        <v>47</v>
      </c>
      <c r="G142">
        <v>29.99</v>
      </c>
      <c r="H142">
        <v>12</v>
      </c>
      <c r="I142">
        <f t="shared" si="10"/>
        <v>1409.53</v>
      </c>
      <c r="J142">
        <f t="shared" si="11"/>
        <v>564</v>
      </c>
      <c r="K142">
        <f t="shared" si="12"/>
        <v>845.53</v>
      </c>
      <c r="L142" s="2">
        <f t="shared" si="13"/>
        <v>0.5998666222074025</v>
      </c>
      <c r="M142" t="str">
        <f t="shared" si="14"/>
        <v>Apr-2025</v>
      </c>
    </row>
    <row r="143" spans="1:13" x14ac:dyDescent="0.3">
      <c r="A143" s="1">
        <v>45770</v>
      </c>
      <c r="B143" t="s">
        <v>12</v>
      </c>
      <c r="C143" t="s">
        <v>9</v>
      </c>
      <c r="D143" t="s">
        <v>35</v>
      </c>
      <c r="E143" t="s">
        <v>25</v>
      </c>
      <c r="F143">
        <v>1</v>
      </c>
      <c r="G143">
        <v>349.99</v>
      </c>
      <c r="H143">
        <v>210</v>
      </c>
      <c r="I143">
        <f t="shared" si="10"/>
        <v>349.99</v>
      </c>
      <c r="J143">
        <f t="shared" si="11"/>
        <v>210</v>
      </c>
      <c r="K143">
        <f t="shared" si="12"/>
        <v>139.99</v>
      </c>
      <c r="L143" s="2">
        <f t="shared" si="13"/>
        <v>0.39998285665304723</v>
      </c>
      <c r="M143" t="str">
        <f t="shared" si="14"/>
        <v>Apr-2025</v>
      </c>
    </row>
    <row r="144" spans="1:13" x14ac:dyDescent="0.3">
      <c r="A144" s="1">
        <v>45771</v>
      </c>
      <c r="B144" t="s">
        <v>31</v>
      </c>
      <c r="C144" t="s">
        <v>32</v>
      </c>
      <c r="D144" t="s">
        <v>13</v>
      </c>
      <c r="E144" t="s">
        <v>14</v>
      </c>
      <c r="F144">
        <v>40</v>
      </c>
      <c r="G144">
        <v>34.99</v>
      </c>
      <c r="H144">
        <v>14</v>
      </c>
      <c r="I144">
        <f t="shared" si="10"/>
        <v>1399.6000000000001</v>
      </c>
      <c r="J144">
        <f t="shared" si="11"/>
        <v>560</v>
      </c>
      <c r="K144">
        <f t="shared" si="12"/>
        <v>839.60000000000014</v>
      </c>
      <c r="L144" s="2">
        <f t="shared" si="13"/>
        <v>0.59988568162332101</v>
      </c>
      <c r="M144" t="str">
        <f t="shared" si="14"/>
        <v>Apr-2025</v>
      </c>
    </row>
    <row r="145" spans="1:13" x14ac:dyDescent="0.3">
      <c r="A145" s="1">
        <v>45773</v>
      </c>
      <c r="B145" t="s">
        <v>27</v>
      </c>
      <c r="C145" t="s">
        <v>23</v>
      </c>
      <c r="D145" t="s">
        <v>29</v>
      </c>
      <c r="E145" t="s">
        <v>14</v>
      </c>
      <c r="F145">
        <v>30</v>
      </c>
      <c r="G145">
        <v>49.99</v>
      </c>
      <c r="H145">
        <v>22</v>
      </c>
      <c r="I145">
        <f t="shared" si="10"/>
        <v>1499.7</v>
      </c>
      <c r="J145">
        <f t="shared" si="11"/>
        <v>660</v>
      </c>
      <c r="K145">
        <f t="shared" si="12"/>
        <v>839.7</v>
      </c>
      <c r="L145" s="2">
        <f t="shared" si="13"/>
        <v>0.55991198239647932</v>
      </c>
      <c r="M145" t="str">
        <f t="shared" si="14"/>
        <v>Apr-2025</v>
      </c>
    </row>
    <row r="146" spans="1:13" x14ac:dyDescent="0.3">
      <c r="A146" s="1">
        <v>45773</v>
      </c>
      <c r="B146" t="s">
        <v>8</v>
      </c>
      <c r="C146" t="s">
        <v>9</v>
      </c>
      <c r="D146" t="s">
        <v>35</v>
      </c>
      <c r="E146" t="s">
        <v>25</v>
      </c>
      <c r="F146">
        <v>13</v>
      </c>
      <c r="G146">
        <v>349.99</v>
      </c>
      <c r="H146">
        <v>210</v>
      </c>
      <c r="I146">
        <f t="shared" si="10"/>
        <v>4549.87</v>
      </c>
      <c r="J146">
        <f t="shared" si="11"/>
        <v>2730</v>
      </c>
      <c r="K146">
        <f t="shared" si="12"/>
        <v>1819.87</v>
      </c>
      <c r="L146" s="2">
        <f t="shared" si="13"/>
        <v>0.39998285665304723</v>
      </c>
      <c r="M146" t="str">
        <f t="shared" si="14"/>
        <v>Apr-2025</v>
      </c>
    </row>
    <row r="147" spans="1:13" x14ac:dyDescent="0.3">
      <c r="A147" s="1">
        <v>45773</v>
      </c>
      <c r="B147" t="s">
        <v>31</v>
      </c>
      <c r="C147" t="s">
        <v>32</v>
      </c>
      <c r="D147" t="s">
        <v>30</v>
      </c>
      <c r="E147" t="s">
        <v>21</v>
      </c>
      <c r="F147">
        <v>25</v>
      </c>
      <c r="G147">
        <v>89.99</v>
      </c>
      <c r="H147">
        <v>42</v>
      </c>
      <c r="I147">
        <f t="shared" si="10"/>
        <v>2249.75</v>
      </c>
      <c r="J147">
        <f t="shared" si="11"/>
        <v>1050</v>
      </c>
      <c r="K147">
        <f t="shared" si="12"/>
        <v>1199.75</v>
      </c>
      <c r="L147" s="2">
        <f t="shared" si="13"/>
        <v>0.53328147571952444</v>
      </c>
      <c r="M147" t="str">
        <f t="shared" si="14"/>
        <v>Apr-2025</v>
      </c>
    </row>
    <row r="148" spans="1:13" x14ac:dyDescent="0.3">
      <c r="A148" s="1">
        <v>45774</v>
      </c>
      <c r="B148" t="s">
        <v>27</v>
      </c>
      <c r="C148" t="s">
        <v>23</v>
      </c>
      <c r="D148" t="s">
        <v>33</v>
      </c>
      <c r="E148" t="s">
        <v>25</v>
      </c>
      <c r="F148">
        <v>11</v>
      </c>
      <c r="G148">
        <v>119.99</v>
      </c>
      <c r="H148">
        <v>60</v>
      </c>
      <c r="I148">
        <f t="shared" si="10"/>
        <v>1319.8899999999999</v>
      </c>
      <c r="J148">
        <f t="shared" si="11"/>
        <v>660</v>
      </c>
      <c r="K148">
        <f t="shared" si="12"/>
        <v>659.88999999999987</v>
      </c>
      <c r="L148" s="2">
        <f t="shared" si="13"/>
        <v>0.49995832986082167</v>
      </c>
      <c r="M148" t="str">
        <f t="shared" si="14"/>
        <v>Apr-2025</v>
      </c>
    </row>
    <row r="149" spans="1:13" x14ac:dyDescent="0.3">
      <c r="A149" s="1">
        <v>45775</v>
      </c>
      <c r="B149" t="s">
        <v>27</v>
      </c>
      <c r="C149" t="s">
        <v>23</v>
      </c>
      <c r="D149" t="s">
        <v>33</v>
      </c>
      <c r="E149" t="s">
        <v>25</v>
      </c>
      <c r="F149">
        <v>8</v>
      </c>
      <c r="G149">
        <v>119.99</v>
      </c>
      <c r="H149">
        <v>60</v>
      </c>
      <c r="I149">
        <f t="shared" si="10"/>
        <v>959.92</v>
      </c>
      <c r="J149">
        <f t="shared" si="11"/>
        <v>480</v>
      </c>
      <c r="K149">
        <f t="shared" si="12"/>
        <v>479.91999999999996</v>
      </c>
      <c r="L149" s="2">
        <f t="shared" si="13"/>
        <v>0.49995832986082173</v>
      </c>
      <c r="M149" t="str">
        <f t="shared" si="14"/>
        <v>Apr-2025</v>
      </c>
    </row>
    <row r="150" spans="1:13" x14ac:dyDescent="0.3">
      <c r="A150" s="1">
        <v>45777</v>
      </c>
      <c r="B150" t="s">
        <v>12</v>
      </c>
      <c r="C150" t="s">
        <v>9</v>
      </c>
      <c r="D150" t="s">
        <v>26</v>
      </c>
      <c r="E150" t="s">
        <v>25</v>
      </c>
      <c r="F150">
        <v>3</v>
      </c>
      <c r="G150">
        <v>1250</v>
      </c>
      <c r="H150">
        <v>850</v>
      </c>
      <c r="I150">
        <f t="shared" si="10"/>
        <v>3750</v>
      </c>
      <c r="J150">
        <f t="shared" si="11"/>
        <v>2550</v>
      </c>
      <c r="K150">
        <f t="shared" si="12"/>
        <v>1200</v>
      </c>
      <c r="L150" s="2">
        <f t="shared" si="13"/>
        <v>0.32</v>
      </c>
      <c r="M150" t="str">
        <f t="shared" si="14"/>
        <v>Apr-2025</v>
      </c>
    </row>
    <row r="151" spans="1:13" x14ac:dyDescent="0.3">
      <c r="A151" s="1">
        <v>45777</v>
      </c>
      <c r="B151" t="s">
        <v>8</v>
      </c>
      <c r="C151" t="s">
        <v>9</v>
      </c>
      <c r="D151" t="s">
        <v>20</v>
      </c>
      <c r="E151" t="s">
        <v>21</v>
      </c>
      <c r="F151">
        <v>40</v>
      </c>
      <c r="G151">
        <v>24.99</v>
      </c>
      <c r="H151">
        <v>10</v>
      </c>
      <c r="I151">
        <f t="shared" si="10"/>
        <v>999.59999999999991</v>
      </c>
      <c r="J151">
        <f t="shared" si="11"/>
        <v>400</v>
      </c>
      <c r="K151">
        <f t="shared" si="12"/>
        <v>599.59999999999991</v>
      </c>
      <c r="L151" s="2">
        <f t="shared" si="13"/>
        <v>0.59983993597438967</v>
      </c>
      <c r="M151" t="str">
        <f t="shared" si="14"/>
        <v>Apr-2025</v>
      </c>
    </row>
    <row r="152" spans="1:13" x14ac:dyDescent="0.3">
      <c r="A152" s="1">
        <v>45778</v>
      </c>
      <c r="B152" t="s">
        <v>18</v>
      </c>
      <c r="C152" t="s">
        <v>19</v>
      </c>
      <c r="D152" t="s">
        <v>34</v>
      </c>
      <c r="E152" t="s">
        <v>11</v>
      </c>
      <c r="F152">
        <v>1</v>
      </c>
      <c r="G152">
        <v>299.99</v>
      </c>
      <c r="H152">
        <v>160</v>
      </c>
      <c r="I152">
        <f t="shared" si="10"/>
        <v>299.99</v>
      </c>
      <c r="J152">
        <f t="shared" si="11"/>
        <v>160</v>
      </c>
      <c r="K152">
        <f t="shared" si="12"/>
        <v>139.99</v>
      </c>
      <c r="L152" s="2">
        <f t="shared" si="13"/>
        <v>0.46664888829627654</v>
      </c>
      <c r="M152" t="str">
        <f t="shared" si="14"/>
        <v>May-2025</v>
      </c>
    </row>
    <row r="153" spans="1:13" x14ac:dyDescent="0.3">
      <c r="A153" s="1">
        <v>45779</v>
      </c>
      <c r="B153" t="s">
        <v>15</v>
      </c>
      <c r="C153" t="s">
        <v>16</v>
      </c>
      <c r="D153" t="s">
        <v>33</v>
      </c>
      <c r="E153" t="s">
        <v>25</v>
      </c>
      <c r="F153">
        <v>11</v>
      </c>
      <c r="G153">
        <v>119.99</v>
      </c>
      <c r="H153">
        <v>60</v>
      </c>
      <c r="I153">
        <f t="shared" si="10"/>
        <v>1319.8899999999999</v>
      </c>
      <c r="J153">
        <f t="shared" si="11"/>
        <v>660</v>
      </c>
      <c r="K153">
        <f t="shared" si="12"/>
        <v>659.88999999999987</v>
      </c>
      <c r="L153" s="2">
        <f t="shared" si="13"/>
        <v>0.49995832986082167</v>
      </c>
      <c r="M153" t="str">
        <f t="shared" si="14"/>
        <v>May-2025</v>
      </c>
    </row>
    <row r="154" spans="1:13" x14ac:dyDescent="0.3">
      <c r="A154" s="1">
        <v>45779</v>
      </c>
      <c r="B154" t="s">
        <v>12</v>
      </c>
      <c r="C154" t="s">
        <v>9</v>
      </c>
      <c r="D154" t="s">
        <v>36</v>
      </c>
      <c r="E154" t="s">
        <v>25</v>
      </c>
      <c r="F154">
        <v>43</v>
      </c>
      <c r="G154">
        <v>89.99</v>
      </c>
      <c r="H154">
        <v>45</v>
      </c>
      <c r="I154">
        <f t="shared" si="10"/>
        <v>3869.5699999999997</v>
      </c>
      <c r="J154">
        <f t="shared" si="11"/>
        <v>1935</v>
      </c>
      <c r="K154">
        <f t="shared" si="12"/>
        <v>1934.5699999999997</v>
      </c>
      <c r="L154" s="2">
        <f t="shared" si="13"/>
        <v>0.49994443827091894</v>
      </c>
      <c r="M154" t="str">
        <f t="shared" si="14"/>
        <v>May-2025</v>
      </c>
    </row>
    <row r="155" spans="1:13" x14ac:dyDescent="0.3">
      <c r="A155" s="1">
        <v>45780</v>
      </c>
      <c r="B155" t="s">
        <v>12</v>
      </c>
      <c r="C155" t="s">
        <v>9</v>
      </c>
      <c r="D155" t="s">
        <v>20</v>
      </c>
      <c r="E155" t="s">
        <v>21</v>
      </c>
      <c r="F155">
        <v>44</v>
      </c>
      <c r="G155">
        <v>24.99</v>
      </c>
      <c r="H155">
        <v>10</v>
      </c>
      <c r="I155">
        <f t="shared" si="10"/>
        <v>1099.56</v>
      </c>
      <c r="J155">
        <f t="shared" si="11"/>
        <v>440</v>
      </c>
      <c r="K155">
        <f t="shared" si="12"/>
        <v>659.56</v>
      </c>
      <c r="L155" s="2">
        <f t="shared" si="13"/>
        <v>0.59983993597438978</v>
      </c>
      <c r="M155" t="str">
        <f t="shared" si="14"/>
        <v>May-2025</v>
      </c>
    </row>
    <row r="156" spans="1:13" x14ac:dyDescent="0.3">
      <c r="A156" s="1">
        <v>45781</v>
      </c>
      <c r="B156" t="s">
        <v>18</v>
      </c>
      <c r="C156" t="s">
        <v>19</v>
      </c>
      <c r="D156" t="s">
        <v>10</v>
      </c>
      <c r="E156" t="s">
        <v>11</v>
      </c>
      <c r="F156">
        <v>3</v>
      </c>
      <c r="G156">
        <v>599.99</v>
      </c>
      <c r="H156">
        <v>360</v>
      </c>
      <c r="I156">
        <f t="shared" si="10"/>
        <v>1799.97</v>
      </c>
      <c r="J156">
        <f t="shared" si="11"/>
        <v>1080</v>
      </c>
      <c r="K156">
        <f t="shared" si="12"/>
        <v>719.97</v>
      </c>
      <c r="L156" s="2">
        <f t="shared" si="13"/>
        <v>0.39998999983333056</v>
      </c>
      <c r="M156" t="str">
        <f t="shared" si="14"/>
        <v>May-2025</v>
      </c>
    </row>
    <row r="157" spans="1:13" x14ac:dyDescent="0.3">
      <c r="A157" s="1">
        <v>45781</v>
      </c>
      <c r="B157" t="s">
        <v>15</v>
      </c>
      <c r="C157" t="s">
        <v>16</v>
      </c>
      <c r="D157" t="s">
        <v>24</v>
      </c>
      <c r="E157" t="s">
        <v>25</v>
      </c>
      <c r="F157">
        <v>38</v>
      </c>
      <c r="G157">
        <v>29.99</v>
      </c>
      <c r="H157">
        <v>12</v>
      </c>
      <c r="I157">
        <f t="shared" si="10"/>
        <v>1139.6199999999999</v>
      </c>
      <c r="J157">
        <f t="shared" si="11"/>
        <v>456</v>
      </c>
      <c r="K157">
        <f t="shared" si="12"/>
        <v>683.61999999999989</v>
      </c>
      <c r="L157" s="2">
        <f t="shared" si="13"/>
        <v>0.59986662220740239</v>
      </c>
      <c r="M157" t="str">
        <f t="shared" si="14"/>
        <v>May-2025</v>
      </c>
    </row>
    <row r="158" spans="1:13" x14ac:dyDescent="0.3">
      <c r="A158" s="1">
        <v>45782</v>
      </c>
      <c r="B158" t="s">
        <v>31</v>
      </c>
      <c r="C158" t="s">
        <v>32</v>
      </c>
      <c r="D158" t="s">
        <v>30</v>
      </c>
      <c r="E158" t="s">
        <v>21</v>
      </c>
      <c r="F158">
        <v>28</v>
      </c>
      <c r="G158">
        <v>89.99</v>
      </c>
      <c r="H158">
        <v>42</v>
      </c>
      <c r="I158">
        <f t="shared" si="10"/>
        <v>2519.7199999999998</v>
      </c>
      <c r="J158">
        <f t="shared" si="11"/>
        <v>1176</v>
      </c>
      <c r="K158">
        <f t="shared" si="12"/>
        <v>1343.7199999999998</v>
      </c>
      <c r="L158" s="2">
        <f t="shared" si="13"/>
        <v>0.53328147571952433</v>
      </c>
      <c r="M158" t="str">
        <f t="shared" si="14"/>
        <v>May-2025</v>
      </c>
    </row>
    <row r="159" spans="1:13" x14ac:dyDescent="0.3">
      <c r="A159" s="1">
        <v>45783</v>
      </c>
      <c r="B159" t="s">
        <v>37</v>
      </c>
      <c r="C159" t="s">
        <v>16</v>
      </c>
      <c r="D159" t="s">
        <v>29</v>
      </c>
      <c r="E159" t="s">
        <v>14</v>
      </c>
      <c r="F159">
        <v>26</v>
      </c>
      <c r="G159">
        <v>49.99</v>
      </c>
      <c r="H159">
        <v>22</v>
      </c>
      <c r="I159">
        <f t="shared" si="10"/>
        <v>1299.74</v>
      </c>
      <c r="J159">
        <f t="shared" si="11"/>
        <v>572</v>
      </c>
      <c r="K159">
        <f t="shared" si="12"/>
        <v>727.74</v>
      </c>
      <c r="L159" s="2">
        <f t="shared" si="13"/>
        <v>0.55991198239647932</v>
      </c>
      <c r="M159" t="str">
        <f t="shared" si="14"/>
        <v>May-2025</v>
      </c>
    </row>
    <row r="160" spans="1:13" x14ac:dyDescent="0.3">
      <c r="A160" s="1">
        <v>45783</v>
      </c>
      <c r="B160" t="s">
        <v>8</v>
      </c>
      <c r="C160" t="s">
        <v>9</v>
      </c>
      <c r="D160" t="s">
        <v>34</v>
      </c>
      <c r="E160" t="s">
        <v>11</v>
      </c>
      <c r="F160">
        <v>5</v>
      </c>
      <c r="G160">
        <v>299.99</v>
      </c>
      <c r="H160">
        <v>160</v>
      </c>
      <c r="I160">
        <f t="shared" si="10"/>
        <v>1499.95</v>
      </c>
      <c r="J160">
        <f t="shared" si="11"/>
        <v>800</v>
      </c>
      <c r="K160">
        <f t="shared" si="12"/>
        <v>699.95</v>
      </c>
      <c r="L160" s="2">
        <f t="shared" si="13"/>
        <v>0.46664888829627654</v>
      </c>
      <c r="M160" t="str">
        <f t="shared" si="14"/>
        <v>May-2025</v>
      </c>
    </row>
    <row r="161" spans="1:13" x14ac:dyDescent="0.3">
      <c r="A161" s="1">
        <v>45784</v>
      </c>
      <c r="B161" t="s">
        <v>37</v>
      </c>
      <c r="C161" t="s">
        <v>16</v>
      </c>
      <c r="D161" t="s">
        <v>17</v>
      </c>
      <c r="E161" t="s">
        <v>11</v>
      </c>
      <c r="F161">
        <v>8</v>
      </c>
      <c r="G161">
        <v>179.99</v>
      </c>
      <c r="H161">
        <v>95</v>
      </c>
      <c r="I161">
        <f t="shared" si="10"/>
        <v>1439.92</v>
      </c>
      <c r="J161">
        <f t="shared" si="11"/>
        <v>760</v>
      </c>
      <c r="K161">
        <f t="shared" si="12"/>
        <v>679.92000000000007</v>
      </c>
      <c r="L161" s="2">
        <f t="shared" si="13"/>
        <v>0.47219289960553368</v>
      </c>
      <c r="M161" t="str">
        <f t="shared" si="14"/>
        <v>May-2025</v>
      </c>
    </row>
    <row r="162" spans="1:13" x14ac:dyDescent="0.3">
      <c r="A162" s="1">
        <v>45784</v>
      </c>
      <c r="B162" t="s">
        <v>31</v>
      </c>
      <c r="C162" t="s">
        <v>32</v>
      </c>
      <c r="D162" t="s">
        <v>36</v>
      </c>
      <c r="E162" t="s">
        <v>25</v>
      </c>
      <c r="F162">
        <v>37</v>
      </c>
      <c r="G162">
        <v>89.99</v>
      </c>
      <c r="H162">
        <v>45</v>
      </c>
      <c r="I162">
        <f t="shared" si="10"/>
        <v>3329.6299999999997</v>
      </c>
      <c r="J162">
        <f t="shared" si="11"/>
        <v>1665</v>
      </c>
      <c r="K162">
        <f t="shared" si="12"/>
        <v>1664.6299999999997</v>
      </c>
      <c r="L162" s="2">
        <f t="shared" si="13"/>
        <v>0.49994443827091894</v>
      </c>
      <c r="M162" t="str">
        <f t="shared" si="14"/>
        <v>May-2025</v>
      </c>
    </row>
    <row r="163" spans="1:13" x14ac:dyDescent="0.3">
      <c r="A163" s="1">
        <v>45785</v>
      </c>
      <c r="B163" t="s">
        <v>22</v>
      </c>
      <c r="C163" t="s">
        <v>23</v>
      </c>
      <c r="D163" t="s">
        <v>28</v>
      </c>
      <c r="E163" t="s">
        <v>21</v>
      </c>
      <c r="F163">
        <v>40</v>
      </c>
      <c r="G163">
        <v>79.989999999999995</v>
      </c>
      <c r="H163">
        <v>40</v>
      </c>
      <c r="I163">
        <f t="shared" si="10"/>
        <v>3199.6</v>
      </c>
      <c r="J163">
        <f t="shared" si="11"/>
        <v>1600</v>
      </c>
      <c r="K163">
        <f t="shared" si="12"/>
        <v>1599.6</v>
      </c>
      <c r="L163" s="2">
        <f t="shared" si="13"/>
        <v>0.49993749218652328</v>
      </c>
      <c r="M163" t="str">
        <f t="shared" si="14"/>
        <v>May-2025</v>
      </c>
    </row>
    <row r="164" spans="1:13" x14ac:dyDescent="0.3">
      <c r="A164" s="1">
        <v>45785</v>
      </c>
      <c r="B164" t="s">
        <v>12</v>
      </c>
      <c r="C164" t="s">
        <v>9</v>
      </c>
      <c r="D164" t="s">
        <v>13</v>
      </c>
      <c r="E164" t="s">
        <v>14</v>
      </c>
      <c r="F164">
        <v>24</v>
      </c>
      <c r="G164">
        <v>34.99</v>
      </c>
      <c r="H164">
        <v>14</v>
      </c>
      <c r="I164">
        <f t="shared" si="10"/>
        <v>839.76</v>
      </c>
      <c r="J164">
        <f t="shared" si="11"/>
        <v>336</v>
      </c>
      <c r="K164">
        <f t="shared" si="12"/>
        <v>503.76</v>
      </c>
      <c r="L164" s="2">
        <f t="shared" si="13"/>
        <v>0.5998856816233209</v>
      </c>
      <c r="M164" t="str">
        <f t="shared" si="14"/>
        <v>May-2025</v>
      </c>
    </row>
    <row r="165" spans="1:13" x14ac:dyDescent="0.3">
      <c r="A165" s="1">
        <v>45785</v>
      </c>
      <c r="B165" t="s">
        <v>15</v>
      </c>
      <c r="C165" t="s">
        <v>16</v>
      </c>
      <c r="D165" t="s">
        <v>39</v>
      </c>
      <c r="E165" t="s">
        <v>25</v>
      </c>
      <c r="F165">
        <v>3</v>
      </c>
      <c r="G165">
        <v>149.99</v>
      </c>
      <c r="H165">
        <v>75</v>
      </c>
      <c r="I165">
        <f t="shared" si="10"/>
        <v>449.97</v>
      </c>
      <c r="J165">
        <f t="shared" si="11"/>
        <v>225</v>
      </c>
      <c r="K165">
        <f t="shared" si="12"/>
        <v>224.97000000000003</v>
      </c>
      <c r="L165" s="2">
        <f t="shared" si="13"/>
        <v>0.49996666444429633</v>
      </c>
      <c r="M165" t="str">
        <f t="shared" si="14"/>
        <v>May-2025</v>
      </c>
    </row>
    <row r="166" spans="1:13" x14ac:dyDescent="0.3">
      <c r="A166" s="1">
        <v>45785</v>
      </c>
      <c r="B166" t="s">
        <v>12</v>
      </c>
      <c r="C166" t="s">
        <v>9</v>
      </c>
      <c r="D166" t="s">
        <v>33</v>
      </c>
      <c r="E166" t="s">
        <v>25</v>
      </c>
      <c r="F166">
        <v>3</v>
      </c>
      <c r="G166">
        <v>119.99</v>
      </c>
      <c r="H166">
        <v>60</v>
      </c>
      <c r="I166">
        <f t="shared" si="10"/>
        <v>359.96999999999997</v>
      </c>
      <c r="J166">
        <f t="shared" si="11"/>
        <v>180</v>
      </c>
      <c r="K166">
        <f t="shared" si="12"/>
        <v>179.96999999999997</v>
      </c>
      <c r="L166" s="2">
        <f t="shared" si="13"/>
        <v>0.49995832986082167</v>
      </c>
      <c r="M166" t="str">
        <f t="shared" si="14"/>
        <v>May-2025</v>
      </c>
    </row>
    <row r="167" spans="1:13" x14ac:dyDescent="0.3">
      <c r="A167" s="1">
        <v>45786</v>
      </c>
      <c r="B167" t="s">
        <v>27</v>
      </c>
      <c r="C167" t="s">
        <v>23</v>
      </c>
      <c r="D167" t="s">
        <v>17</v>
      </c>
      <c r="E167" t="s">
        <v>11</v>
      </c>
      <c r="F167">
        <v>4</v>
      </c>
      <c r="G167">
        <v>179.99</v>
      </c>
      <c r="H167">
        <v>95</v>
      </c>
      <c r="I167">
        <f t="shared" si="10"/>
        <v>719.96</v>
      </c>
      <c r="J167">
        <f t="shared" si="11"/>
        <v>380</v>
      </c>
      <c r="K167">
        <f t="shared" si="12"/>
        <v>339.96000000000004</v>
      </c>
      <c r="L167" s="2">
        <f t="shared" si="13"/>
        <v>0.47219289960553368</v>
      </c>
      <c r="M167" t="str">
        <f t="shared" si="14"/>
        <v>May-2025</v>
      </c>
    </row>
    <row r="168" spans="1:13" x14ac:dyDescent="0.3">
      <c r="A168" s="1">
        <v>45786</v>
      </c>
      <c r="B168" t="s">
        <v>12</v>
      </c>
      <c r="C168" t="s">
        <v>9</v>
      </c>
      <c r="D168" t="s">
        <v>33</v>
      </c>
      <c r="E168" t="s">
        <v>25</v>
      </c>
      <c r="F168">
        <v>11</v>
      </c>
      <c r="G168">
        <v>119.99</v>
      </c>
      <c r="H168">
        <v>60</v>
      </c>
      <c r="I168">
        <f t="shared" si="10"/>
        <v>1319.8899999999999</v>
      </c>
      <c r="J168">
        <f t="shared" si="11"/>
        <v>660</v>
      </c>
      <c r="K168">
        <f t="shared" si="12"/>
        <v>659.88999999999987</v>
      </c>
      <c r="L168" s="2">
        <f t="shared" si="13"/>
        <v>0.49995832986082167</v>
      </c>
      <c r="M168" t="str">
        <f t="shared" si="14"/>
        <v>May-2025</v>
      </c>
    </row>
    <row r="169" spans="1:13" x14ac:dyDescent="0.3">
      <c r="A169" s="1">
        <v>45786</v>
      </c>
      <c r="B169" t="s">
        <v>12</v>
      </c>
      <c r="C169" t="s">
        <v>9</v>
      </c>
      <c r="D169" t="s">
        <v>35</v>
      </c>
      <c r="E169" t="s">
        <v>25</v>
      </c>
      <c r="F169">
        <v>1</v>
      </c>
      <c r="G169">
        <v>349.99</v>
      </c>
      <c r="H169">
        <v>210</v>
      </c>
      <c r="I169">
        <f t="shared" si="10"/>
        <v>349.99</v>
      </c>
      <c r="J169">
        <f t="shared" si="11"/>
        <v>210</v>
      </c>
      <c r="K169">
        <f t="shared" si="12"/>
        <v>139.99</v>
      </c>
      <c r="L169" s="2">
        <f t="shared" si="13"/>
        <v>0.39998285665304723</v>
      </c>
      <c r="M169" t="str">
        <f t="shared" si="14"/>
        <v>May-2025</v>
      </c>
    </row>
    <row r="170" spans="1:13" x14ac:dyDescent="0.3">
      <c r="A170" s="1">
        <v>45787</v>
      </c>
      <c r="B170" t="s">
        <v>31</v>
      </c>
      <c r="C170" t="s">
        <v>32</v>
      </c>
      <c r="D170" t="s">
        <v>36</v>
      </c>
      <c r="E170" t="s">
        <v>25</v>
      </c>
      <c r="F170">
        <v>49</v>
      </c>
      <c r="G170">
        <v>89.99</v>
      </c>
      <c r="H170">
        <v>45</v>
      </c>
      <c r="I170">
        <f t="shared" si="10"/>
        <v>4409.5099999999993</v>
      </c>
      <c r="J170">
        <f t="shared" si="11"/>
        <v>2205</v>
      </c>
      <c r="K170">
        <f t="shared" si="12"/>
        <v>2204.5099999999993</v>
      </c>
      <c r="L170" s="2">
        <f t="shared" si="13"/>
        <v>0.49994443827091889</v>
      </c>
      <c r="M170" t="str">
        <f t="shared" si="14"/>
        <v>May-2025</v>
      </c>
    </row>
    <row r="171" spans="1:13" x14ac:dyDescent="0.3">
      <c r="A171" s="1">
        <v>45787</v>
      </c>
      <c r="B171" t="s">
        <v>31</v>
      </c>
      <c r="C171" t="s">
        <v>32</v>
      </c>
      <c r="D171" t="s">
        <v>35</v>
      </c>
      <c r="E171" t="s">
        <v>25</v>
      </c>
      <c r="F171">
        <v>11</v>
      </c>
      <c r="G171">
        <v>349.99</v>
      </c>
      <c r="H171">
        <v>210</v>
      </c>
      <c r="I171">
        <f t="shared" si="10"/>
        <v>3849.8900000000003</v>
      </c>
      <c r="J171">
        <f t="shared" si="11"/>
        <v>2310</v>
      </c>
      <c r="K171">
        <f t="shared" si="12"/>
        <v>1539.8900000000003</v>
      </c>
      <c r="L171" s="2">
        <f t="shared" si="13"/>
        <v>0.39998285665304728</v>
      </c>
      <c r="M171" t="str">
        <f t="shared" si="14"/>
        <v>May-2025</v>
      </c>
    </row>
    <row r="172" spans="1:13" x14ac:dyDescent="0.3">
      <c r="A172" s="1">
        <v>45788</v>
      </c>
      <c r="B172" t="s">
        <v>31</v>
      </c>
      <c r="C172" t="s">
        <v>32</v>
      </c>
      <c r="D172" t="s">
        <v>26</v>
      </c>
      <c r="E172" t="s">
        <v>25</v>
      </c>
      <c r="F172">
        <v>2</v>
      </c>
      <c r="G172">
        <v>1250</v>
      </c>
      <c r="H172">
        <v>850</v>
      </c>
      <c r="I172">
        <f t="shared" si="10"/>
        <v>2500</v>
      </c>
      <c r="J172">
        <f t="shared" si="11"/>
        <v>1700</v>
      </c>
      <c r="K172">
        <f t="shared" si="12"/>
        <v>800</v>
      </c>
      <c r="L172" s="2">
        <f t="shared" si="13"/>
        <v>0.32</v>
      </c>
      <c r="M172" t="str">
        <f t="shared" si="14"/>
        <v>May-2025</v>
      </c>
    </row>
    <row r="173" spans="1:13" x14ac:dyDescent="0.3">
      <c r="A173" s="1">
        <v>45788</v>
      </c>
      <c r="B173" t="s">
        <v>37</v>
      </c>
      <c r="C173" t="s">
        <v>16</v>
      </c>
      <c r="D173" t="s">
        <v>35</v>
      </c>
      <c r="E173" t="s">
        <v>25</v>
      </c>
      <c r="F173">
        <v>9</v>
      </c>
      <c r="G173">
        <v>349.99</v>
      </c>
      <c r="H173">
        <v>210</v>
      </c>
      <c r="I173">
        <f t="shared" si="10"/>
        <v>3149.91</v>
      </c>
      <c r="J173">
        <f t="shared" si="11"/>
        <v>1890</v>
      </c>
      <c r="K173">
        <f t="shared" si="12"/>
        <v>1259.9099999999999</v>
      </c>
      <c r="L173" s="2">
        <f t="shared" si="13"/>
        <v>0.39998285665304723</v>
      </c>
      <c r="M173" t="str">
        <f t="shared" si="14"/>
        <v>May-2025</v>
      </c>
    </row>
    <row r="174" spans="1:13" x14ac:dyDescent="0.3">
      <c r="A174" s="1">
        <v>45788</v>
      </c>
      <c r="B174" t="s">
        <v>27</v>
      </c>
      <c r="C174" t="s">
        <v>23</v>
      </c>
      <c r="D174" t="s">
        <v>26</v>
      </c>
      <c r="E174" t="s">
        <v>25</v>
      </c>
      <c r="F174">
        <v>2</v>
      </c>
      <c r="G174">
        <v>1250</v>
      </c>
      <c r="H174">
        <v>850</v>
      </c>
      <c r="I174">
        <f t="shared" si="10"/>
        <v>2500</v>
      </c>
      <c r="J174">
        <f t="shared" si="11"/>
        <v>1700</v>
      </c>
      <c r="K174">
        <f t="shared" si="12"/>
        <v>800</v>
      </c>
      <c r="L174" s="2">
        <f t="shared" si="13"/>
        <v>0.32</v>
      </c>
      <c r="M174" t="str">
        <f t="shared" si="14"/>
        <v>May-2025</v>
      </c>
    </row>
    <row r="175" spans="1:13" x14ac:dyDescent="0.3">
      <c r="A175" s="1">
        <v>45788</v>
      </c>
      <c r="B175" t="s">
        <v>22</v>
      </c>
      <c r="C175" t="s">
        <v>23</v>
      </c>
      <c r="D175" t="s">
        <v>13</v>
      </c>
      <c r="E175" t="s">
        <v>14</v>
      </c>
      <c r="F175">
        <v>6</v>
      </c>
      <c r="G175">
        <v>34.99</v>
      </c>
      <c r="H175">
        <v>14</v>
      </c>
      <c r="I175">
        <f t="shared" si="10"/>
        <v>209.94</v>
      </c>
      <c r="J175">
        <f t="shared" si="11"/>
        <v>84</v>
      </c>
      <c r="K175">
        <f t="shared" si="12"/>
        <v>125.94</v>
      </c>
      <c r="L175" s="2">
        <f t="shared" si="13"/>
        <v>0.5998856816233209</v>
      </c>
      <c r="M175" t="str">
        <f t="shared" si="14"/>
        <v>May-2025</v>
      </c>
    </row>
    <row r="176" spans="1:13" x14ac:dyDescent="0.3">
      <c r="A176" s="1">
        <v>45791</v>
      </c>
      <c r="B176" t="s">
        <v>22</v>
      </c>
      <c r="C176" t="s">
        <v>23</v>
      </c>
      <c r="D176" t="s">
        <v>30</v>
      </c>
      <c r="E176" t="s">
        <v>21</v>
      </c>
      <c r="F176">
        <v>13</v>
      </c>
      <c r="G176">
        <v>89.99</v>
      </c>
      <c r="H176">
        <v>42</v>
      </c>
      <c r="I176">
        <f t="shared" si="10"/>
        <v>1169.8699999999999</v>
      </c>
      <c r="J176">
        <f t="shared" si="11"/>
        <v>546</v>
      </c>
      <c r="K176">
        <f t="shared" si="12"/>
        <v>623.86999999999989</v>
      </c>
      <c r="L176" s="2">
        <f t="shared" si="13"/>
        <v>0.53328147571952433</v>
      </c>
      <c r="M176" t="str">
        <f t="shared" si="14"/>
        <v>May-2025</v>
      </c>
    </row>
    <row r="177" spans="1:13" x14ac:dyDescent="0.3">
      <c r="A177" s="1">
        <v>45792</v>
      </c>
      <c r="B177" t="s">
        <v>31</v>
      </c>
      <c r="C177" t="s">
        <v>32</v>
      </c>
      <c r="D177" t="s">
        <v>26</v>
      </c>
      <c r="E177" t="s">
        <v>25</v>
      </c>
      <c r="F177">
        <v>1</v>
      </c>
      <c r="G177">
        <v>1250</v>
      </c>
      <c r="H177">
        <v>850</v>
      </c>
      <c r="I177">
        <f t="shared" si="10"/>
        <v>1250</v>
      </c>
      <c r="J177">
        <f t="shared" si="11"/>
        <v>850</v>
      </c>
      <c r="K177">
        <f t="shared" si="12"/>
        <v>400</v>
      </c>
      <c r="L177" s="2">
        <f t="shared" si="13"/>
        <v>0.32</v>
      </c>
      <c r="M177" t="str">
        <f t="shared" si="14"/>
        <v>May-2025</v>
      </c>
    </row>
    <row r="178" spans="1:13" x14ac:dyDescent="0.3">
      <c r="A178" s="1">
        <v>45792</v>
      </c>
      <c r="B178" t="s">
        <v>15</v>
      </c>
      <c r="C178" t="s">
        <v>16</v>
      </c>
      <c r="D178" t="s">
        <v>17</v>
      </c>
      <c r="E178" t="s">
        <v>11</v>
      </c>
      <c r="F178">
        <v>8</v>
      </c>
      <c r="G178">
        <v>179.99</v>
      </c>
      <c r="H178">
        <v>95</v>
      </c>
      <c r="I178">
        <f t="shared" si="10"/>
        <v>1439.92</v>
      </c>
      <c r="J178">
        <f t="shared" si="11"/>
        <v>760</v>
      </c>
      <c r="K178">
        <f t="shared" si="12"/>
        <v>679.92000000000007</v>
      </c>
      <c r="L178" s="2">
        <f t="shared" si="13"/>
        <v>0.47219289960553368</v>
      </c>
      <c r="M178" t="str">
        <f t="shared" si="14"/>
        <v>May-2025</v>
      </c>
    </row>
    <row r="179" spans="1:13" x14ac:dyDescent="0.3">
      <c r="A179" s="1">
        <v>45792</v>
      </c>
      <c r="B179" t="s">
        <v>37</v>
      </c>
      <c r="C179" t="s">
        <v>16</v>
      </c>
      <c r="D179" t="s">
        <v>20</v>
      </c>
      <c r="E179" t="s">
        <v>21</v>
      </c>
      <c r="F179">
        <v>21</v>
      </c>
      <c r="G179">
        <v>24.99</v>
      </c>
      <c r="H179">
        <v>10</v>
      </c>
      <c r="I179">
        <f t="shared" si="10"/>
        <v>524.79</v>
      </c>
      <c r="J179">
        <f t="shared" si="11"/>
        <v>210</v>
      </c>
      <c r="K179">
        <f t="shared" si="12"/>
        <v>314.78999999999996</v>
      </c>
      <c r="L179" s="2">
        <f t="shared" si="13"/>
        <v>0.59983993597438978</v>
      </c>
      <c r="M179" t="str">
        <f t="shared" si="14"/>
        <v>May-2025</v>
      </c>
    </row>
    <row r="180" spans="1:13" x14ac:dyDescent="0.3">
      <c r="A180" s="1">
        <v>45793</v>
      </c>
      <c r="B180" t="s">
        <v>18</v>
      </c>
      <c r="C180" t="s">
        <v>19</v>
      </c>
      <c r="D180" t="s">
        <v>33</v>
      </c>
      <c r="E180" t="s">
        <v>25</v>
      </c>
      <c r="F180">
        <v>1</v>
      </c>
      <c r="G180">
        <v>119.99</v>
      </c>
      <c r="H180">
        <v>60</v>
      </c>
      <c r="I180">
        <f t="shared" si="10"/>
        <v>119.99</v>
      </c>
      <c r="J180">
        <f t="shared" si="11"/>
        <v>60</v>
      </c>
      <c r="K180">
        <f t="shared" si="12"/>
        <v>59.989999999999995</v>
      </c>
      <c r="L180" s="2">
        <f t="shared" si="13"/>
        <v>0.49995832986082173</v>
      </c>
      <c r="M180" t="str">
        <f t="shared" si="14"/>
        <v>May-2025</v>
      </c>
    </row>
    <row r="181" spans="1:13" x14ac:dyDescent="0.3">
      <c r="A181" s="1">
        <v>45794</v>
      </c>
      <c r="B181" t="s">
        <v>15</v>
      </c>
      <c r="C181" t="s">
        <v>16</v>
      </c>
      <c r="D181" t="s">
        <v>39</v>
      </c>
      <c r="E181" t="s">
        <v>25</v>
      </c>
      <c r="F181">
        <v>9</v>
      </c>
      <c r="G181">
        <v>149.99</v>
      </c>
      <c r="H181">
        <v>75</v>
      </c>
      <c r="I181">
        <f t="shared" si="10"/>
        <v>1349.91</v>
      </c>
      <c r="J181">
        <f t="shared" si="11"/>
        <v>675</v>
      </c>
      <c r="K181">
        <f t="shared" si="12"/>
        <v>674.91000000000008</v>
      </c>
      <c r="L181" s="2">
        <f t="shared" si="13"/>
        <v>0.49996666444429633</v>
      </c>
      <c r="M181" t="str">
        <f t="shared" si="14"/>
        <v>May-2025</v>
      </c>
    </row>
    <row r="182" spans="1:13" x14ac:dyDescent="0.3">
      <c r="A182" s="1">
        <v>45796</v>
      </c>
      <c r="B182" t="s">
        <v>8</v>
      </c>
      <c r="C182" t="s">
        <v>9</v>
      </c>
      <c r="D182" t="s">
        <v>20</v>
      </c>
      <c r="E182" t="s">
        <v>21</v>
      </c>
      <c r="F182">
        <v>47</v>
      </c>
      <c r="G182">
        <v>24.99</v>
      </c>
      <c r="H182">
        <v>10</v>
      </c>
      <c r="I182">
        <f t="shared" si="10"/>
        <v>1174.53</v>
      </c>
      <c r="J182">
        <f t="shared" si="11"/>
        <v>470</v>
      </c>
      <c r="K182">
        <f t="shared" si="12"/>
        <v>704.53</v>
      </c>
      <c r="L182" s="2">
        <f t="shared" si="13"/>
        <v>0.59983993597438978</v>
      </c>
      <c r="M182" t="str">
        <f t="shared" si="14"/>
        <v>May-2025</v>
      </c>
    </row>
    <row r="183" spans="1:13" x14ac:dyDescent="0.3">
      <c r="A183" s="1">
        <v>45797</v>
      </c>
      <c r="B183" t="s">
        <v>8</v>
      </c>
      <c r="C183" t="s">
        <v>9</v>
      </c>
      <c r="D183" t="s">
        <v>29</v>
      </c>
      <c r="E183" t="s">
        <v>14</v>
      </c>
      <c r="F183">
        <v>44</v>
      </c>
      <c r="G183">
        <v>49.99</v>
      </c>
      <c r="H183">
        <v>22</v>
      </c>
      <c r="I183">
        <f t="shared" si="10"/>
        <v>2199.56</v>
      </c>
      <c r="J183">
        <f t="shared" si="11"/>
        <v>968</v>
      </c>
      <c r="K183">
        <f t="shared" si="12"/>
        <v>1231.56</v>
      </c>
      <c r="L183" s="2">
        <f t="shared" si="13"/>
        <v>0.55991198239647932</v>
      </c>
      <c r="M183" t="str">
        <f t="shared" si="14"/>
        <v>May-2025</v>
      </c>
    </row>
    <row r="184" spans="1:13" x14ac:dyDescent="0.3">
      <c r="A184" s="1">
        <v>45799</v>
      </c>
      <c r="B184" t="s">
        <v>15</v>
      </c>
      <c r="C184" t="s">
        <v>16</v>
      </c>
      <c r="D184" t="s">
        <v>30</v>
      </c>
      <c r="E184" t="s">
        <v>21</v>
      </c>
      <c r="F184">
        <v>46</v>
      </c>
      <c r="G184">
        <v>89.99</v>
      </c>
      <c r="H184">
        <v>42</v>
      </c>
      <c r="I184">
        <f t="shared" si="10"/>
        <v>4139.54</v>
      </c>
      <c r="J184">
        <f t="shared" si="11"/>
        <v>1932</v>
      </c>
      <c r="K184">
        <f t="shared" si="12"/>
        <v>2207.54</v>
      </c>
      <c r="L184" s="2">
        <f t="shared" si="13"/>
        <v>0.53328147571952433</v>
      </c>
      <c r="M184" t="str">
        <f t="shared" si="14"/>
        <v>May-2025</v>
      </c>
    </row>
    <row r="185" spans="1:13" x14ac:dyDescent="0.3">
      <c r="A185" s="1">
        <v>45800</v>
      </c>
      <c r="B185" t="s">
        <v>31</v>
      </c>
      <c r="C185" t="s">
        <v>32</v>
      </c>
      <c r="D185" t="s">
        <v>35</v>
      </c>
      <c r="E185" t="s">
        <v>25</v>
      </c>
      <c r="F185">
        <v>9</v>
      </c>
      <c r="G185">
        <v>349.99</v>
      </c>
      <c r="H185">
        <v>210</v>
      </c>
      <c r="I185">
        <f t="shared" si="10"/>
        <v>3149.91</v>
      </c>
      <c r="J185">
        <f t="shared" si="11"/>
        <v>1890</v>
      </c>
      <c r="K185">
        <f t="shared" si="12"/>
        <v>1259.9099999999999</v>
      </c>
      <c r="L185" s="2">
        <f t="shared" si="13"/>
        <v>0.39998285665304723</v>
      </c>
      <c r="M185" t="str">
        <f t="shared" si="14"/>
        <v>May-2025</v>
      </c>
    </row>
    <row r="186" spans="1:13" x14ac:dyDescent="0.3">
      <c r="A186" s="1">
        <v>45800</v>
      </c>
      <c r="B186" t="s">
        <v>18</v>
      </c>
      <c r="C186" t="s">
        <v>19</v>
      </c>
      <c r="D186" t="s">
        <v>28</v>
      </c>
      <c r="E186" t="s">
        <v>21</v>
      </c>
      <c r="F186">
        <v>43</v>
      </c>
      <c r="G186">
        <v>79.989999999999995</v>
      </c>
      <c r="H186">
        <v>40</v>
      </c>
      <c r="I186">
        <f t="shared" si="10"/>
        <v>3439.5699999999997</v>
      </c>
      <c r="J186">
        <f t="shared" si="11"/>
        <v>1720</v>
      </c>
      <c r="K186">
        <f t="shared" si="12"/>
        <v>1719.5699999999997</v>
      </c>
      <c r="L186" s="2">
        <f t="shared" si="13"/>
        <v>0.49993749218652328</v>
      </c>
      <c r="M186" t="str">
        <f t="shared" si="14"/>
        <v>May-2025</v>
      </c>
    </row>
    <row r="187" spans="1:13" x14ac:dyDescent="0.3">
      <c r="A187" s="1">
        <v>45801</v>
      </c>
      <c r="B187" t="s">
        <v>18</v>
      </c>
      <c r="C187" t="s">
        <v>19</v>
      </c>
      <c r="D187" t="s">
        <v>29</v>
      </c>
      <c r="E187" t="s">
        <v>14</v>
      </c>
      <c r="F187">
        <v>39</v>
      </c>
      <c r="G187">
        <v>49.99</v>
      </c>
      <c r="H187">
        <v>22</v>
      </c>
      <c r="I187">
        <f t="shared" si="10"/>
        <v>1949.6100000000001</v>
      </c>
      <c r="J187">
        <f t="shared" si="11"/>
        <v>858</v>
      </c>
      <c r="K187">
        <f t="shared" si="12"/>
        <v>1091.6100000000001</v>
      </c>
      <c r="L187" s="2">
        <f t="shared" si="13"/>
        <v>0.55991198239647932</v>
      </c>
      <c r="M187" t="str">
        <f t="shared" si="14"/>
        <v>May-2025</v>
      </c>
    </row>
    <row r="188" spans="1:13" x14ac:dyDescent="0.3">
      <c r="A188" s="1">
        <v>45801</v>
      </c>
      <c r="B188" t="s">
        <v>37</v>
      </c>
      <c r="C188" t="s">
        <v>16</v>
      </c>
      <c r="D188" t="s">
        <v>36</v>
      </c>
      <c r="E188" t="s">
        <v>25</v>
      </c>
      <c r="F188">
        <v>7</v>
      </c>
      <c r="G188">
        <v>89.99</v>
      </c>
      <c r="H188">
        <v>45</v>
      </c>
      <c r="I188">
        <f t="shared" si="10"/>
        <v>629.92999999999995</v>
      </c>
      <c r="J188">
        <f t="shared" si="11"/>
        <v>315</v>
      </c>
      <c r="K188">
        <f t="shared" si="12"/>
        <v>314.92999999999995</v>
      </c>
      <c r="L188" s="2">
        <f t="shared" si="13"/>
        <v>0.49994443827091894</v>
      </c>
      <c r="M188" t="str">
        <f t="shared" si="14"/>
        <v>May-2025</v>
      </c>
    </row>
    <row r="189" spans="1:13" x14ac:dyDescent="0.3">
      <c r="A189" s="1">
        <v>45801</v>
      </c>
      <c r="B189" t="s">
        <v>18</v>
      </c>
      <c r="C189" t="s">
        <v>19</v>
      </c>
      <c r="D189" t="s">
        <v>26</v>
      </c>
      <c r="E189" t="s">
        <v>25</v>
      </c>
      <c r="F189">
        <v>2</v>
      </c>
      <c r="G189">
        <v>1250</v>
      </c>
      <c r="H189">
        <v>850</v>
      </c>
      <c r="I189">
        <f t="shared" si="10"/>
        <v>2500</v>
      </c>
      <c r="J189">
        <f t="shared" si="11"/>
        <v>1700</v>
      </c>
      <c r="K189">
        <f t="shared" si="12"/>
        <v>800</v>
      </c>
      <c r="L189" s="2">
        <f t="shared" si="13"/>
        <v>0.32</v>
      </c>
      <c r="M189" t="str">
        <f t="shared" si="14"/>
        <v>May-2025</v>
      </c>
    </row>
    <row r="190" spans="1:13" x14ac:dyDescent="0.3">
      <c r="A190" s="1">
        <v>45801</v>
      </c>
      <c r="B190" t="s">
        <v>8</v>
      </c>
      <c r="C190" t="s">
        <v>9</v>
      </c>
      <c r="D190" t="s">
        <v>33</v>
      </c>
      <c r="E190" t="s">
        <v>25</v>
      </c>
      <c r="F190">
        <v>5</v>
      </c>
      <c r="G190">
        <v>119.99</v>
      </c>
      <c r="H190">
        <v>60</v>
      </c>
      <c r="I190">
        <f t="shared" si="10"/>
        <v>599.94999999999993</v>
      </c>
      <c r="J190">
        <f t="shared" si="11"/>
        <v>300</v>
      </c>
      <c r="K190">
        <f t="shared" si="12"/>
        <v>299.94999999999993</v>
      </c>
      <c r="L190" s="2">
        <f t="shared" si="13"/>
        <v>0.49995832986082167</v>
      </c>
      <c r="M190" t="str">
        <f t="shared" si="14"/>
        <v>May-2025</v>
      </c>
    </row>
    <row r="191" spans="1:13" x14ac:dyDescent="0.3">
      <c r="A191" s="1">
        <v>45802</v>
      </c>
      <c r="B191" t="s">
        <v>27</v>
      </c>
      <c r="C191" t="s">
        <v>23</v>
      </c>
      <c r="D191" t="s">
        <v>24</v>
      </c>
      <c r="E191" t="s">
        <v>25</v>
      </c>
      <c r="F191">
        <v>48</v>
      </c>
      <c r="G191">
        <v>29.99</v>
      </c>
      <c r="H191">
        <v>12</v>
      </c>
      <c r="I191">
        <f t="shared" si="10"/>
        <v>1439.52</v>
      </c>
      <c r="J191">
        <f t="shared" si="11"/>
        <v>576</v>
      </c>
      <c r="K191">
        <f t="shared" si="12"/>
        <v>863.52</v>
      </c>
      <c r="L191" s="2">
        <f t="shared" si="13"/>
        <v>0.5998666222074025</v>
      </c>
      <c r="M191" t="str">
        <f t="shared" si="14"/>
        <v>May-2025</v>
      </c>
    </row>
    <row r="192" spans="1:13" x14ac:dyDescent="0.3">
      <c r="A192" s="1">
        <v>45804</v>
      </c>
      <c r="B192" t="s">
        <v>31</v>
      </c>
      <c r="C192" t="s">
        <v>32</v>
      </c>
      <c r="D192" t="s">
        <v>34</v>
      </c>
      <c r="E192" t="s">
        <v>11</v>
      </c>
      <c r="F192">
        <v>12</v>
      </c>
      <c r="G192">
        <v>299.99</v>
      </c>
      <c r="H192">
        <v>160</v>
      </c>
      <c r="I192">
        <f t="shared" si="10"/>
        <v>3599.88</v>
      </c>
      <c r="J192">
        <f t="shared" si="11"/>
        <v>1920</v>
      </c>
      <c r="K192">
        <f t="shared" si="12"/>
        <v>1679.88</v>
      </c>
      <c r="L192" s="2">
        <f t="shared" si="13"/>
        <v>0.46664888829627654</v>
      </c>
      <c r="M192" t="str">
        <f t="shared" si="14"/>
        <v>May-2025</v>
      </c>
    </row>
    <row r="193" spans="1:13" x14ac:dyDescent="0.3">
      <c r="A193" s="1">
        <v>45804</v>
      </c>
      <c r="B193" t="s">
        <v>18</v>
      </c>
      <c r="C193" t="s">
        <v>19</v>
      </c>
      <c r="D193" t="s">
        <v>17</v>
      </c>
      <c r="E193" t="s">
        <v>11</v>
      </c>
      <c r="F193">
        <v>3</v>
      </c>
      <c r="G193">
        <v>179.99</v>
      </c>
      <c r="H193">
        <v>95</v>
      </c>
      <c r="I193">
        <f t="shared" si="10"/>
        <v>539.97</v>
      </c>
      <c r="J193">
        <f t="shared" si="11"/>
        <v>285</v>
      </c>
      <c r="K193">
        <f t="shared" si="12"/>
        <v>254.97000000000003</v>
      </c>
      <c r="L193" s="2">
        <f t="shared" si="13"/>
        <v>0.47219289960553368</v>
      </c>
      <c r="M193" t="str">
        <f t="shared" si="14"/>
        <v>May-2025</v>
      </c>
    </row>
    <row r="194" spans="1:13" x14ac:dyDescent="0.3">
      <c r="A194" s="1">
        <v>45804</v>
      </c>
      <c r="B194" t="s">
        <v>37</v>
      </c>
      <c r="C194" t="s">
        <v>16</v>
      </c>
      <c r="D194" t="s">
        <v>39</v>
      </c>
      <c r="E194" t="s">
        <v>25</v>
      </c>
      <c r="F194">
        <v>14</v>
      </c>
      <c r="G194">
        <v>149.99</v>
      </c>
      <c r="H194">
        <v>75</v>
      </c>
      <c r="I194">
        <f t="shared" si="10"/>
        <v>2099.86</v>
      </c>
      <c r="J194">
        <f t="shared" si="11"/>
        <v>1050</v>
      </c>
      <c r="K194">
        <f t="shared" si="12"/>
        <v>1049.8600000000001</v>
      </c>
      <c r="L194" s="2">
        <f t="shared" si="13"/>
        <v>0.49996666444429633</v>
      </c>
      <c r="M194" t="str">
        <f t="shared" si="14"/>
        <v>May-2025</v>
      </c>
    </row>
    <row r="195" spans="1:13" x14ac:dyDescent="0.3">
      <c r="A195" s="1">
        <v>45804</v>
      </c>
      <c r="B195" t="s">
        <v>8</v>
      </c>
      <c r="C195" t="s">
        <v>9</v>
      </c>
      <c r="D195" t="s">
        <v>38</v>
      </c>
      <c r="E195" t="s">
        <v>11</v>
      </c>
      <c r="F195">
        <v>2</v>
      </c>
      <c r="G195">
        <v>850</v>
      </c>
      <c r="H195">
        <v>520</v>
      </c>
      <c r="I195">
        <f t="shared" ref="I195:I258" si="15">F195*G195</f>
        <v>1700</v>
      </c>
      <c r="J195">
        <f t="shared" ref="J195:J258" si="16">F195*H195</f>
        <v>1040</v>
      </c>
      <c r="K195">
        <f t="shared" ref="K195:K258" si="17">I195-J195</f>
        <v>660</v>
      </c>
      <c r="L195" s="2">
        <f t="shared" ref="L195:L258" si="18">K195/I195</f>
        <v>0.38823529411764707</v>
      </c>
      <c r="M195" t="str">
        <f t="shared" ref="M195:M258" si="19">TEXT(A195,"mmm-yyyy")</f>
        <v>May-2025</v>
      </c>
    </row>
    <row r="196" spans="1:13" x14ac:dyDescent="0.3">
      <c r="A196" s="1">
        <v>45804</v>
      </c>
      <c r="B196" t="s">
        <v>27</v>
      </c>
      <c r="C196" t="s">
        <v>23</v>
      </c>
      <c r="D196" t="s">
        <v>17</v>
      </c>
      <c r="E196" t="s">
        <v>11</v>
      </c>
      <c r="F196">
        <v>12</v>
      </c>
      <c r="G196">
        <v>179.99</v>
      </c>
      <c r="H196">
        <v>95</v>
      </c>
      <c r="I196">
        <f t="shared" si="15"/>
        <v>2159.88</v>
      </c>
      <c r="J196">
        <f t="shared" si="16"/>
        <v>1140</v>
      </c>
      <c r="K196">
        <f t="shared" si="17"/>
        <v>1019.8800000000001</v>
      </c>
      <c r="L196" s="2">
        <f t="shared" si="18"/>
        <v>0.47219289960553368</v>
      </c>
      <c r="M196" t="str">
        <f t="shared" si="19"/>
        <v>May-2025</v>
      </c>
    </row>
    <row r="197" spans="1:13" x14ac:dyDescent="0.3">
      <c r="A197" s="1">
        <v>45805</v>
      </c>
      <c r="B197" t="s">
        <v>12</v>
      </c>
      <c r="C197" t="s">
        <v>9</v>
      </c>
      <c r="D197" t="s">
        <v>13</v>
      </c>
      <c r="E197" t="s">
        <v>14</v>
      </c>
      <c r="F197">
        <v>23</v>
      </c>
      <c r="G197">
        <v>34.99</v>
      </c>
      <c r="H197">
        <v>14</v>
      </c>
      <c r="I197">
        <f t="shared" si="15"/>
        <v>804.7700000000001</v>
      </c>
      <c r="J197">
        <f t="shared" si="16"/>
        <v>322</v>
      </c>
      <c r="K197">
        <f t="shared" si="17"/>
        <v>482.7700000000001</v>
      </c>
      <c r="L197" s="2">
        <f t="shared" si="18"/>
        <v>0.59988568162332101</v>
      </c>
      <c r="M197" t="str">
        <f t="shared" si="19"/>
        <v>May-2025</v>
      </c>
    </row>
    <row r="198" spans="1:13" x14ac:dyDescent="0.3">
      <c r="A198" s="1">
        <v>45805</v>
      </c>
      <c r="B198" t="s">
        <v>12</v>
      </c>
      <c r="C198" t="s">
        <v>9</v>
      </c>
      <c r="D198" t="s">
        <v>24</v>
      </c>
      <c r="E198" t="s">
        <v>25</v>
      </c>
      <c r="F198">
        <v>41</v>
      </c>
      <c r="G198">
        <v>29.99</v>
      </c>
      <c r="H198">
        <v>12</v>
      </c>
      <c r="I198">
        <f t="shared" si="15"/>
        <v>1229.5899999999999</v>
      </c>
      <c r="J198">
        <f t="shared" si="16"/>
        <v>492</v>
      </c>
      <c r="K198">
        <f t="shared" si="17"/>
        <v>737.58999999999992</v>
      </c>
      <c r="L198" s="2">
        <f t="shared" si="18"/>
        <v>0.59986662220740239</v>
      </c>
      <c r="M198" t="str">
        <f t="shared" si="19"/>
        <v>May-2025</v>
      </c>
    </row>
    <row r="199" spans="1:13" x14ac:dyDescent="0.3">
      <c r="A199" s="1">
        <v>45807</v>
      </c>
      <c r="B199" t="s">
        <v>27</v>
      </c>
      <c r="C199" t="s">
        <v>23</v>
      </c>
      <c r="D199" t="s">
        <v>28</v>
      </c>
      <c r="E199" t="s">
        <v>21</v>
      </c>
      <c r="F199">
        <v>48</v>
      </c>
      <c r="G199">
        <v>79.989999999999995</v>
      </c>
      <c r="H199">
        <v>40</v>
      </c>
      <c r="I199">
        <f t="shared" si="15"/>
        <v>3839.5199999999995</v>
      </c>
      <c r="J199">
        <f t="shared" si="16"/>
        <v>1920</v>
      </c>
      <c r="K199">
        <f t="shared" si="17"/>
        <v>1919.5199999999995</v>
      </c>
      <c r="L199" s="2">
        <f t="shared" si="18"/>
        <v>0.49993749218652328</v>
      </c>
      <c r="M199" t="str">
        <f t="shared" si="19"/>
        <v>May-2025</v>
      </c>
    </row>
    <row r="200" spans="1:13" x14ac:dyDescent="0.3">
      <c r="A200" s="1">
        <v>45807</v>
      </c>
      <c r="B200" t="s">
        <v>8</v>
      </c>
      <c r="C200" t="s">
        <v>9</v>
      </c>
      <c r="D200" t="s">
        <v>34</v>
      </c>
      <c r="E200" t="s">
        <v>11</v>
      </c>
      <c r="F200">
        <v>11</v>
      </c>
      <c r="G200">
        <v>299.99</v>
      </c>
      <c r="H200">
        <v>160</v>
      </c>
      <c r="I200">
        <f t="shared" si="15"/>
        <v>3299.8900000000003</v>
      </c>
      <c r="J200">
        <f t="shared" si="16"/>
        <v>1760</v>
      </c>
      <c r="K200">
        <f t="shared" si="17"/>
        <v>1539.8900000000003</v>
      </c>
      <c r="L200" s="2">
        <f t="shared" si="18"/>
        <v>0.4666488882962766</v>
      </c>
      <c r="M200" t="str">
        <f t="shared" si="19"/>
        <v>May-2025</v>
      </c>
    </row>
    <row r="201" spans="1:13" x14ac:dyDescent="0.3">
      <c r="A201" s="1">
        <v>45808</v>
      </c>
      <c r="B201" t="s">
        <v>37</v>
      </c>
      <c r="C201" t="s">
        <v>16</v>
      </c>
      <c r="D201" t="s">
        <v>24</v>
      </c>
      <c r="E201" t="s">
        <v>25</v>
      </c>
      <c r="F201">
        <v>21</v>
      </c>
      <c r="G201">
        <v>29.99</v>
      </c>
      <c r="H201">
        <v>12</v>
      </c>
      <c r="I201">
        <f t="shared" si="15"/>
        <v>629.79</v>
      </c>
      <c r="J201">
        <f t="shared" si="16"/>
        <v>252</v>
      </c>
      <c r="K201">
        <f t="shared" si="17"/>
        <v>377.78999999999996</v>
      </c>
      <c r="L201" s="2">
        <f t="shared" si="18"/>
        <v>0.59986662220740239</v>
      </c>
      <c r="M201" t="str">
        <f t="shared" si="19"/>
        <v>May-2025</v>
      </c>
    </row>
    <row r="202" spans="1:13" x14ac:dyDescent="0.3">
      <c r="A202" s="1">
        <v>45808</v>
      </c>
      <c r="B202" t="s">
        <v>27</v>
      </c>
      <c r="C202" t="s">
        <v>23</v>
      </c>
      <c r="D202" t="s">
        <v>35</v>
      </c>
      <c r="E202" t="s">
        <v>25</v>
      </c>
      <c r="F202">
        <v>10</v>
      </c>
      <c r="G202">
        <v>349.99</v>
      </c>
      <c r="H202">
        <v>210</v>
      </c>
      <c r="I202">
        <f t="shared" si="15"/>
        <v>3499.9</v>
      </c>
      <c r="J202">
        <f t="shared" si="16"/>
        <v>2100</v>
      </c>
      <c r="K202">
        <f t="shared" si="17"/>
        <v>1399.9</v>
      </c>
      <c r="L202" s="2">
        <f t="shared" si="18"/>
        <v>0.39998285665304723</v>
      </c>
      <c r="M202" t="str">
        <f t="shared" si="19"/>
        <v>May-2025</v>
      </c>
    </row>
    <row r="203" spans="1:13" x14ac:dyDescent="0.3">
      <c r="A203" s="1">
        <v>45809</v>
      </c>
      <c r="B203" t="s">
        <v>31</v>
      </c>
      <c r="C203" t="s">
        <v>32</v>
      </c>
      <c r="D203" t="s">
        <v>26</v>
      </c>
      <c r="E203" t="s">
        <v>25</v>
      </c>
      <c r="F203">
        <v>1</v>
      </c>
      <c r="G203">
        <v>1250</v>
      </c>
      <c r="H203">
        <v>850</v>
      </c>
      <c r="I203">
        <f t="shared" si="15"/>
        <v>1250</v>
      </c>
      <c r="J203">
        <f t="shared" si="16"/>
        <v>850</v>
      </c>
      <c r="K203">
        <f t="shared" si="17"/>
        <v>400</v>
      </c>
      <c r="L203" s="2">
        <f t="shared" si="18"/>
        <v>0.32</v>
      </c>
      <c r="M203" t="str">
        <f t="shared" si="19"/>
        <v>Jun-2025</v>
      </c>
    </row>
    <row r="204" spans="1:13" x14ac:dyDescent="0.3">
      <c r="A204" s="1">
        <v>45809</v>
      </c>
      <c r="B204" t="s">
        <v>31</v>
      </c>
      <c r="C204" t="s">
        <v>32</v>
      </c>
      <c r="D204" t="s">
        <v>30</v>
      </c>
      <c r="E204" t="s">
        <v>21</v>
      </c>
      <c r="F204">
        <v>16</v>
      </c>
      <c r="G204">
        <v>89.99</v>
      </c>
      <c r="H204">
        <v>42</v>
      </c>
      <c r="I204">
        <f t="shared" si="15"/>
        <v>1439.84</v>
      </c>
      <c r="J204">
        <f t="shared" si="16"/>
        <v>672</v>
      </c>
      <c r="K204">
        <f t="shared" si="17"/>
        <v>767.83999999999992</v>
      </c>
      <c r="L204" s="2">
        <f t="shared" si="18"/>
        <v>0.53328147571952433</v>
      </c>
      <c r="M204" t="str">
        <f t="shared" si="19"/>
        <v>Jun-2025</v>
      </c>
    </row>
    <row r="205" spans="1:13" x14ac:dyDescent="0.3">
      <c r="A205" s="1">
        <v>45809</v>
      </c>
      <c r="B205" t="s">
        <v>12</v>
      </c>
      <c r="C205" t="s">
        <v>9</v>
      </c>
      <c r="D205" t="s">
        <v>39</v>
      </c>
      <c r="E205" t="s">
        <v>25</v>
      </c>
      <c r="F205">
        <v>14</v>
      </c>
      <c r="G205">
        <v>149.99</v>
      </c>
      <c r="H205">
        <v>75</v>
      </c>
      <c r="I205">
        <f t="shared" si="15"/>
        <v>2099.86</v>
      </c>
      <c r="J205">
        <f t="shared" si="16"/>
        <v>1050</v>
      </c>
      <c r="K205">
        <f t="shared" si="17"/>
        <v>1049.8600000000001</v>
      </c>
      <c r="L205" s="2">
        <f t="shared" si="18"/>
        <v>0.49996666444429633</v>
      </c>
      <c r="M205" t="str">
        <f t="shared" si="19"/>
        <v>Jun-2025</v>
      </c>
    </row>
    <row r="206" spans="1:13" x14ac:dyDescent="0.3">
      <c r="A206" s="1">
        <v>45810</v>
      </c>
      <c r="B206" t="s">
        <v>18</v>
      </c>
      <c r="C206" t="s">
        <v>19</v>
      </c>
      <c r="D206" t="s">
        <v>10</v>
      </c>
      <c r="E206" t="s">
        <v>11</v>
      </c>
      <c r="F206">
        <v>3</v>
      </c>
      <c r="G206">
        <v>599.99</v>
      </c>
      <c r="H206">
        <v>360</v>
      </c>
      <c r="I206">
        <f t="shared" si="15"/>
        <v>1799.97</v>
      </c>
      <c r="J206">
        <f t="shared" si="16"/>
        <v>1080</v>
      </c>
      <c r="K206">
        <f t="shared" si="17"/>
        <v>719.97</v>
      </c>
      <c r="L206" s="2">
        <f t="shared" si="18"/>
        <v>0.39998999983333056</v>
      </c>
      <c r="M206" t="str">
        <f t="shared" si="19"/>
        <v>Jun-2025</v>
      </c>
    </row>
    <row r="207" spans="1:13" x14ac:dyDescent="0.3">
      <c r="A207" s="1">
        <v>45810</v>
      </c>
      <c r="B207" t="s">
        <v>37</v>
      </c>
      <c r="C207" t="s">
        <v>16</v>
      </c>
      <c r="D207" t="s">
        <v>26</v>
      </c>
      <c r="E207" t="s">
        <v>25</v>
      </c>
      <c r="F207">
        <v>5</v>
      </c>
      <c r="G207">
        <v>1250</v>
      </c>
      <c r="H207">
        <v>850</v>
      </c>
      <c r="I207">
        <f t="shared" si="15"/>
        <v>6250</v>
      </c>
      <c r="J207">
        <f t="shared" si="16"/>
        <v>4250</v>
      </c>
      <c r="K207">
        <f t="shared" si="17"/>
        <v>2000</v>
      </c>
      <c r="L207" s="2">
        <f t="shared" si="18"/>
        <v>0.32</v>
      </c>
      <c r="M207" t="str">
        <f t="shared" si="19"/>
        <v>Jun-2025</v>
      </c>
    </row>
    <row r="208" spans="1:13" x14ac:dyDescent="0.3">
      <c r="A208" s="1">
        <v>45811</v>
      </c>
      <c r="B208" t="s">
        <v>12</v>
      </c>
      <c r="C208" t="s">
        <v>9</v>
      </c>
      <c r="D208" t="s">
        <v>10</v>
      </c>
      <c r="E208" t="s">
        <v>11</v>
      </c>
      <c r="F208">
        <v>1</v>
      </c>
      <c r="G208">
        <v>599.99</v>
      </c>
      <c r="H208">
        <v>360</v>
      </c>
      <c r="I208">
        <f t="shared" si="15"/>
        <v>599.99</v>
      </c>
      <c r="J208">
        <f t="shared" si="16"/>
        <v>360</v>
      </c>
      <c r="K208">
        <f t="shared" si="17"/>
        <v>239.99</v>
      </c>
      <c r="L208" s="2">
        <f t="shared" si="18"/>
        <v>0.39998999983333056</v>
      </c>
      <c r="M208" t="str">
        <f t="shared" si="19"/>
        <v>Jun-2025</v>
      </c>
    </row>
    <row r="209" spans="1:13" x14ac:dyDescent="0.3">
      <c r="A209" s="1">
        <v>45812</v>
      </c>
      <c r="B209" t="s">
        <v>18</v>
      </c>
      <c r="C209" t="s">
        <v>19</v>
      </c>
      <c r="D209" t="s">
        <v>29</v>
      </c>
      <c r="E209" t="s">
        <v>14</v>
      </c>
      <c r="F209">
        <v>27</v>
      </c>
      <c r="G209">
        <v>49.99</v>
      </c>
      <c r="H209">
        <v>22</v>
      </c>
      <c r="I209">
        <f t="shared" si="15"/>
        <v>1349.73</v>
      </c>
      <c r="J209">
        <f t="shared" si="16"/>
        <v>594</v>
      </c>
      <c r="K209">
        <f t="shared" si="17"/>
        <v>755.73</v>
      </c>
      <c r="L209" s="2">
        <f t="shared" si="18"/>
        <v>0.55991198239647932</v>
      </c>
      <c r="M209" t="str">
        <f t="shared" si="19"/>
        <v>Jun-2025</v>
      </c>
    </row>
    <row r="210" spans="1:13" x14ac:dyDescent="0.3">
      <c r="A210" s="1">
        <v>45814</v>
      </c>
      <c r="B210" t="s">
        <v>18</v>
      </c>
      <c r="C210" t="s">
        <v>19</v>
      </c>
      <c r="D210" t="s">
        <v>30</v>
      </c>
      <c r="E210" t="s">
        <v>21</v>
      </c>
      <c r="F210">
        <v>41</v>
      </c>
      <c r="G210">
        <v>89.99</v>
      </c>
      <c r="H210">
        <v>42</v>
      </c>
      <c r="I210">
        <f t="shared" si="15"/>
        <v>3689.5899999999997</v>
      </c>
      <c r="J210">
        <f t="shared" si="16"/>
        <v>1722</v>
      </c>
      <c r="K210">
        <f t="shared" si="17"/>
        <v>1967.5899999999997</v>
      </c>
      <c r="L210" s="2">
        <f t="shared" si="18"/>
        <v>0.53328147571952433</v>
      </c>
      <c r="M210" t="str">
        <f t="shared" si="19"/>
        <v>Jun-2025</v>
      </c>
    </row>
    <row r="211" spans="1:13" x14ac:dyDescent="0.3">
      <c r="A211" s="1">
        <v>45815</v>
      </c>
      <c r="B211" t="s">
        <v>22</v>
      </c>
      <c r="C211" t="s">
        <v>23</v>
      </c>
      <c r="D211" t="s">
        <v>34</v>
      </c>
      <c r="E211" t="s">
        <v>11</v>
      </c>
      <c r="F211">
        <v>6</v>
      </c>
      <c r="G211">
        <v>299.99</v>
      </c>
      <c r="H211">
        <v>160</v>
      </c>
      <c r="I211">
        <f t="shared" si="15"/>
        <v>1799.94</v>
      </c>
      <c r="J211">
        <f t="shared" si="16"/>
        <v>960</v>
      </c>
      <c r="K211">
        <f t="shared" si="17"/>
        <v>839.94</v>
      </c>
      <c r="L211" s="2">
        <f t="shared" si="18"/>
        <v>0.46664888829627654</v>
      </c>
      <c r="M211" t="str">
        <f t="shared" si="19"/>
        <v>Jun-2025</v>
      </c>
    </row>
    <row r="212" spans="1:13" x14ac:dyDescent="0.3">
      <c r="A212" s="1">
        <v>45815</v>
      </c>
      <c r="B212" t="s">
        <v>31</v>
      </c>
      <c r="C212" t="s">
        <v>32</v>
      </c>
      <c r="D212" t="s">
        <v>33</v>
      </c>
      <c r="E212" t="s">
        <v>25</v>
      </c>
      <c r="F212">
        <v>6</v>
      </c>
      <c r="G212">
        <v>119.99</v>
      </c>
      <c r="H212">
        <v>60</v>
      </c>
      <c r="I212">
        <f t="shared" si="15"/>
        <v>719.93999999999994</v>
      </c>
      <c r="J212">
        <f t="shared" si="16"/>
        <v>360</v>
      </c>
      <c r="K212">
        <f t="shared" si="17"/>
        <v>359.93999999999994</v>
      </c>
      <c r="L212" s="2">
        <f t="shared" si="18"/>
        <v>0.49995832986082167</v>
      </c>
      <c r="M212" t="str">
        <f t="shared" si="19"/>
        <v>Jun-2025</v>
      </c>
    </row>
    <row r="213" spans="1:13" x14ac:dyDescent="0.3">
      <c r="A213" s="1">
        <v>45815</v>
      </c>
      <c r="B213" t="s">
        <v>8</v>
      </c>
      <c r="C213" t="s">
        <v>9</v>
      </c>
      <c r="D213" t="s">
        <v>38</v>
      </c>
      <c r="E213" t="s">
        <v>11</v>
      </c>
      <c r="F213">
        <v>1</v>
      </c>
      <c r="G213">
        <v>850</v>
      </c>
      <c r="H213">
        <v>520</v>
      </c>
      <c r="I213">
        <f t="shared" si="15"/>
        <v>850</v>
      </c>
      <c r="J213">
        <f t="shared" si="16"/>
        <v>520</v>
      </c>
      <c r="K213">
        <f t="shared" si="17"/>
        <v>330</v>
      </c>
      <c r="L213" s="2">
        <f t="shared" si="18"/>
        <v>0.38823529411764707</v>
      </c>
      <c r="M213" t="str">
        <f t="shared" si="19"/>
        <v>Jun-2025</v>
      </c>
    </row>
    <row r="214" spans="1:13" x14ac:dyDescent="0.3">
      <c r="A214" s="1">
        <v>45817</v>
      </c>
      <c r="B214" t="s">
        <v>15</v>
      </c>
      <c r="C214" t="s">
        <v>16</v>
      </c>
      <c r="D214" t="s">
        <v>36</v>
      </c>
      <c r="E214" t="s">
        <v>25</v>
      </c>
      <c r="F214">
        <v>22</v>
      </c>
      <c r="G214">
        <v>89.99</v>
      </c>
      <c r="H214">
        <v>45</v>
      </c>
      <c r="I214">
        <f t="shared" si="15"/>
        <v>1979.78</v>
      </c>
      <c r="J214">
        <f t="shared" si="16"/>
        <v>990</v>
      </c>
      <c r="K214">
        <f t="shared" si="17"/>
        <v>989.78</v>
      </c>
      <c r="L214" s="2">
        <f t="shared" si="18"/>
        <v>0.499944438270919</v>
      </c>
      <c r="M214" t="str">
        <f t="shared" si="19"/>
        <v>Jun-2025</v>
      </c>
    </row>
    <row r="215" spans="1:13" x14ac:dyDescent="0.3">
      <c r="A215" s="1">
        <v>45817</v>
      </c>
      <c r="B215" t="s">
        <v>8</v>
      </c>
      <c r="C215" t="s">
        <v>9</v>
      </c>
      <c r="D215" t="s">
        <v>20</v>
      </c>
      <c r="E215" t="s">
        <v>21</v>
      </c>
      <c r="F215">
        <v>29</v>
      </c>
      <c r="G215">
        <v>24.99</v>
      </c>
      <c r="H215">
        <v>10</v>
      </c>
      <c r="I215">
        <f t="shared" si="15"/>
        <v>724.70999999999992</v>
      </c>
      <c r="J215">
        <f t="shared" si="16"/>
        <v>290</v>
      </c>
      <c r="K215">
        <f t="shared" si="17"/>
        <v>434.70999999999992</v>
      </c>
      <c r="L215" s="2">
        <f t="shared" si="18"/>
        <v>0.59983993597438967</v>
      </c>
      <c r="M215" t="str">
        <f t="shared" si="19"/>
        <v>Jun-2025</v>
      </c>
    </row>
    <row r="216" spans="1:13" x14ac:dyDescent="0.3">
      <c r="A216" s="1">
        <v>45817</v>
      </c>
      <c r="B216" t="s">
        <v>15</v>
      </c>
      <c r="C216" t="s">
        <v>16</v>
      </c>
      <c r="D216" t="s">
        <v>30</v>
      </c>
      <c r="E216" t="s">
        <v>21</v>
      </c>
      <c r="F216">
        <v>16</v>
      </c>
      <c r="G216">
        <v>89.99</v>
      </c>
      <c r="H216">
        <v>42</v>
      </c>
      <c r="I216">
        <f t="shared" si="15"/>
        <v>1439.84</v>
      </c>
      <c r="J216">
        <f t="shared" si="16"/>
        <v>672</v>
      </c>
      <c r="K216">
        <f t="shared" si="17"/>
        <v>767.83999999999992</v>
      </c>
      <c r="L216" s="2">
        <f t="shared" si="18"/>
        <v>0.53328147571952433</v>
      </c>
      <c r="M216" t="str">
        <f t="shared" si="19"/>
        <v>Jun-2025</v>
      </c>
    </row>
    <row r="217" spans="1:13" x14ac:dyDescent="0.3">
      <c r="A217" s="1">
        <v>45817</v>
      </c>
      <c r="B217" t="s">
        <v>27</v>
      </c>
      <c r="C217" t="s">
        <v>23</v>
      </c>
      <c r="D217" t="s">
        <v>26</v>
      </c>
      <c r="E217" t="s">
        <v>25</v>
      </c>
      <c r="F217">
        <v>3</v>
      </c>
      <c r="G217">
        <v>1250</v>
      </c>
      <c r="H217">
        <v>850</v>
      </c>
      <c r="I217">
        <f t="shared" si="15"/>
        <v>3750</v>
      </c>
      <c r="J217">
        <f t="shared" si="16"/>
        <v>2550</v>
      </c>
      <c r="K217">
        <f t="shared" si="17"/>
        <v>1200</v>
      </c>
      <c r="L217" s="2">
        <f t="shared" si="18"/>
        <v>0.32</v>
      </c>
      <c r="M217" t="str">
        <f t="shared" si="19"/>
        <v>Jun-2025</v>
      </c>
    </row>
    <row r="218" spans="1:13" x14ac:dyDescent="0.3">
      <c r="A218" s="1">
        <v>45818</v>
      </c>
      <c r="B218" t="s">
        <v>31</v>
      </c>
      <c r="C218" t="s">
        <v>32</v>
      </c>
      <c r="D218" t="s">
        <v>39</v>
      </c>
      <c r="E218" t="s">
        <v>25</v>
      </c>
      <c r="F218">
        <v>10</v>
      </c>
      <c r="G218">
        <v>149.99</v>
      </c>
      <c r="H218">
        <v>75</v>
      </c>
      <c r="I218">
        <f t="shared" si="15"/>
        <v>1499.9</v>
      </c>
      <c r="J218">
        <f t="shared" si="16"/>
        <v>750</v>
      </c>
      <c r="K218">
        <f t="shared" si="17"/>
        <v>749.90000000000009</v>
      </c>
      <c r="L218" s="2">
        <f t="shared" si="18"/>
        <v>0.49996666444429633</v>
      </c>
      <c r="M218" t="str">
        <f t="shared" si="19"/>
        <v>Jun-2025</v>
      </c>
    </row>
    <row r="219" spans="1:13" x14ac:dyDescent="0.3">
      <c r="A219" s="1">
        <v>45818</v>
      </c>
      <c r="B219" t="s">
        <v>18</v>
      </c>
      <c r="C219" t="s">
        <v>19</v>
      </c>
      <c r="D219" t="s">
        <v>20</v>
      </c>
      <c r="E219" t="s">
        <v>21</v>
      </c>
      <c r="F219">
        <v>45</v>
      </c>
      <c r="G219">
        <v>24.99</v>
      </c>
      <c r="H219">
        <v>10</v>
      </c>
      <c r="I219">
        <f t="shared" si="15"/>
        <v>1124.55</v>
      </c>
      <c r="J219">
        <f t="shared" si="16"/>
        <v>450</v>
      </c>
      <c r="K219">
        <f t="shared" si="17"/>
        <v>674.55</v>
      </c>
      <c r="L219" s="2">
        <f t="shared" si="18"/>
        <v>0.59983993597438978</v>
      </c>
      <c r="M219" t="str">
        <f t="shared" si="19"/>
        <v>Jun-2025</v>
      </c>
    </row>
    <row r="220" spans="1:13" x14ac:dyDescent="0.3">
      <c r="A220" s="1">
        <v>45818</v>
      </c>
      <c r="B220" t="s">
        <v>37</v>
      </c>
      <c r="C220" t="s">
        <v>16</v>
      </c>
      <c r="D220" t="s">
        <v>13</v>
      </c>
      <c r="E220" t="s">
        <v>14</v>
      </c>
      <c r="F220">
        <v>49</v>
      </c>
      <c r="G220">
        <v>34.99</v>
      </c>
      <c r="H220">
        <v>14</v>
      </c>
      <c r="I220">
        <f t="shared" si="15"/>
        <v>1714.51</v>
      </c>
      <c r="J220">
        <f t="shared" si="16"/>
        <v>686</v>
      </c>
      <c r="K220">
        <f t="shared" si="17"/>
        <v>1028.51</v>
      </c>
      <c r="L220" s="2">
        <f t="shared" si="18"/>
        <v>0.5998856816233209</v>
      </c>
      <c r="M220" t="str">
        <f t="shared" si="19"/>
        <v>Jun-2025</v>
      </c>
    </row>
    <row r="221" spans="1:13" x14ac:dyDescent="0.3">
      <c r="A221" s="1">
        <v>45818</v>
      </c>
      <c r="B221" t="s">
        <v>15</v>
      </c>
      <c r="C221" t="s">
        <v>16</v>
      </c>
      <c r="D221" t="s">
        <v>13</v>
      </c>
      <c r="E221" t="s">
        <v>14</v>
      </c>
      <c r="F221">
        <v>30</v>
      </c>
      <c r="G221">
        <v>34.99</v>
      </c>
      <c r="H221">
        <v>14</v>
      </c>
      <c r="I221">
        <f t="shared" si="15"/>
        <v>1049.7</v>
      </c>
      <c r="J221">
        <f t="shared" si="16"/>
        <v>420</v>
      </c>
      <c r="K221">
        <f t="shared" si="17"/>
        <v>629.70000000000005</v>
      </c>
      <c r="L221" s="2">
        <f t="shared" si="18"/>
        <v>0.59988568162332101</v>
      </c>
      <c r="M221" t="str">
        <f t="shared" si="19"/>
        <v>Jun-2025</v>
      </c>
    </row>
    <row r="222" spans="1:13" x14ac:dyDescent="0.3">
      <c r="A222" s="1">
        <v>45819</v>
      </c>
      <c r="B222" t="s">
        <v>8</v>
      </c>
      <c r="C222" t="s">
        <v>9</v>
      </c>
      <c r="D222" t="s">
        <v>24</v>
      </c>
      <c r="E222" t="s">
        <v>25</v>
      </c>
      <c r="F222">
        <v>36</v>
      </c>
      <c r="G222">
        <v>29.99</v>
      </c>
      <c r="H222">
        <v>12</v>
      </c>
      <c r="I222">
        <f t="shared" si="15"/>
        <v>1079.6399999999999</v>
      </c>
      <c r="J222">
        <f t="shared" si="16"/>
        <v>432</v>
      </c>
      <c r="K222">
        <f t="shared" si="17"/>
        <v>647.63999999999987</v>
      </c>
      <c r="L222" s="2">
        <f t="shared" si="18"/>
        <v>0.59986662220740239</v>
      </c>
      <c r="M222" t="str">
        <f t="shared" si="19"/>
        <v>Jun-2025</v>
      </c>
    </row>
    <row r="223" spans="1:13" x14ac:dyDescent="0.3">
      <c r="A223" s="1">
        <v>45820</v>
      </c>
      <c r="B223" t="s">
        <v>18</v>
      </c>
      <c r="C223" t="s">
        <v>19</v>
      </c>
      <c r="D223" t="s">
        <v>20</v>
      </c>
      <c r="E223" t="s">
        <v>21</v>
      </c>
      <c r="F223">
        <v>14</v>
      </c>
      <c r="G223">
        <v>24.99</v>
      </c>
      <c r="H223">
        <v>10</v>
      </c>
      <c r="I223">
        <f t="shared" si="15"/>
        <v>349.85999999999996</v>
      </c>
      <c r="J223">
        <f t="shared" si="16"/>
        <v>140</v>
      </c>
      <c r="K223">
        <f t="shared" si="17"/>
        <v>209.85999999999996</v>
      </c>
      <c r="L223" s="2">
        <f t="shared" si="18"/>
        <v>0.59983993597438967</v>
      </c>
      <c r="M223" t="str">
        <f t="shared" si="19"/>
        <v>Jun-2025</v>
      </c>
    </row>
    <row r="224" spans="1:13" x14ac:dyDescent="0.3">
      <c r="A224" s="1">
        <v>45820</v>
      </c>
      <c r="B224" t="s">
        <v>15</v>
      </c>
      <c r="C224" t="s">
        <v>16</v>
      </c>
      <c r="D224" t="s">
        <v>39</v>
      </c>
      <c r="E224" t="s">
        <v>25</v>
      </c>
      <c r="F224">
        <v>7</v>
      </c>
      <c r="G224">
        <v>149.99</v>
      </c>
      <c r="H224">
        <v>75</v>
      </c>
      <c r="I224">
        <f t="shared" si="15"/>
        <v>1049.93</v>
      </c>
      <c r="J224">
        <f t="shared" si="16"/>
        <v>525</v>
      </c>
      <c r="K224">
        <f t="shared" si="17"/>
        <v>524.93000000000006</v>
      </c>
      <c r="L224" s="2">
        <f t="shared" si="18"/>
        <v>0.49996666444429633</v>
      </c>
      <c r="M224" t="str">
        <f t="shared" si="19"/>
        <v>Jun-2025</v>
      </c>
    </row>
    <row r="225" spans="1:13" x14ac:dyDescent="0.3">
      <c r="A225" s="1">
        <v>45822</v>
      </c>
      <c r="B225" t="s">
        <v>15</v>
      </c>
      <c r="C225" t="s">
        <v>16</v>
      </c>
      <c r="D225" t="s">
        <v>34</v>
      </c>
      <c r="E225" t="s">
        <v>11</v>
      </c>
      <c r="F225">
        <v>1</v>
      </c>
      <c r="G225">
        <v>299.99</v>
      </c>
      <c r="H225">
        <v>160</v>
      </c>
      <c r="I225">
        <f t="shared" si="15"/>
        <v>299.99</v>
      </c>
      <c r="J225">
        <f t="shared" si="16"/>
        <v>160</v>
      </c>
      <c r="K225">
        <f t="shared" si="17"/>
        <v>139.99</v>
      </c>
      <c r="L225" s="2">
        <f t="shared" si="18"/>
        <v>0.46664888829627654</v>
      </c>
      <c r="M225" t="str">
        <f t="shared" si="19"/>
        <v>Jun-2025</v>
      </c>
    </row>
    <row r="226" spans="1:13" x14ac:dyDescent="0.3">
      <c r="A226" s="1">
        <v>45824</v>
      </c>
      <c r="B226" t="s">
        <v>22</v>
      </c>
      <c r="C226" t="s">
        <v>23</v>
      </c>
      <c r="D226" t="s">
        <v>29</v>
      </c>
      <c r="E226" t="s">
        <v>14</v>
      </c>
      <c r="F226">
        <v>27</v>
      </c>
      <c r="G226">
        <v>49.99</v>
      </c>
      <c r="H226">
        <v>22</v>
      </c>
      <c r="I226">
        <f t="shared" si="15"/>
        <v>1349.73</v>
      </c>
      <c r="J226">
        <f t="shared" si="16"/>
        <v>594</v>
      </c>
      <c r="K226">
        <f t="shared" si="17"/>
        <v>755.73</v>
      </c>
      <c r="L226" s="2">
        <f t="shared" si="18"/>
        <v>0.55991198239647932</v>
      </c>
      <c r="M226" t="str">
        <f t="shared" si="19"/>
        <v>Jun-2025</v>
      </c>
    </row>
    <row r="227" spans="1:13" x14ac:dyDescent="0.3">
      <c r="A227" s="1">
        <v>45826</v>
      </c>
      <c r="B227" t="s">
        <v>15</v>
      </c>
      <c r="C227" t="s">
        <v>16</v>
      </c>
      <c r="D227" t="s">
        <v>10</v>
      </c>
      <c r="E227" t="s">
        <v>11</v>
      </c>
      <c r="F227">
        <v>2</v>
      </c>
      <c r="G227">
        <v>599.99</v>
      </c>
      <c r="H227">
        <v>360</v>
      </c>
      <c r="I227">
        <f t="shared" si="15"/>
        <v>1199.98</v>
      </c>
      <c r="J227">
        <f t="shared" si="16"/>
        <v>720</v>
      </c>
      <c r="K227">
        <f t="shared" si="17"/>
        <v>479.98</v>
      </c>
      <c r="L227" s="2">
        <f t="shared" si="18"/>
        <v>0.39998999983333056</v>
      </c>
      <c r="M227" t="str">
        <f t="shared" si="19"/>
        <v>Jun-2025</v>
      </c>
    </row>
    <row r="228" spans="1:13" x14ac:dyDescent="0.3">
      <c r="A228" s="1">
        <v>45827</v>
      </c>
      <c r="B228" t="s">
        <v>37</v>
      </c>
      <c r="C228" t="s">
        <v>16</v>
      </c>
      <c r="D228" t="s">
        <v>24</v>
      </c>
      <c r="E228" t="s">
        <v>25</v>
      </c>
      <c r="F228">
        <v>25</v>
      </c>
      <c r="G228">
        <v>29.99</v>
      </c>
      <c r="H228">
        <v>12</v>
      </c>
      <c r="I228">
        <f t="shared" si="15"/>
        <v>749.75</v>
      </c>
      <c r="J228">
        <f t="shared" si="16"/>
        <v>300</v>
      </c>
      <c r="K228">
        <f t="shared" si="17"/>
        <v>449.75</v>
      </c>
      <c r="L228" s="2">
        <f t="shared" si="18"/>
        <v>0.5998666222074025</v>
      </c>
      <c r="M228" t="str">
        <f t="shared" si="19"/>
        <v>Jun-2025</v>
      </c>
    </row>
    <row r="229" spans="1:13" x14ac:dyDescent="0.3">
      <c r="A229" s="1">
        <v>45827</v>
      </c>
      <c r="B229" t="s">
        <v>31</v>
      </c>
      <c r="C229" t="s">
        <v>32</v>
      </c>
      <c r="D229" t="s">
        <v>13</v>
      </c>
      <c r="E229" t="s">
        <v>14</v>
      </c>
      <c r="F229">
        <v>26</v>
      </c>
      <c r="G229">
        <v>34.99</v>
      </c>
      <c r="H229">
        <v>14</v>
      </c>
      <c r="I229">
        <f t="shared" si="15"/>
        <v>909.74</v>
      </c>
      <c r="J229">
        <f t="shared" si="16"/>
        <v>364</v>
      </c>
      <c r="K229">
        <f t="shared" si="17"/>
        <v>545.74</v>
      </c>
      <c r="L229" s="2">
        <f t="shared" si="18"/>
        <v>0.5998856816233209</v>
      </c>
      <c r="M229" t="str">
        <f t="shared" si="19"/>
        <v>Jun-2025</v>
      </c>
    </row>
    <row r="230" spans="1:13" x14ac:dyDescent="0.3">
      <c r="A230" s="1">
        <v>45827</v>
      </c>
      <c r="B230" t="s">
        <v>37</v>
      </c>
      <c r="C230" t="s">
        <v>16</v>
      </c>
      <c r="D230" t="s">
        <v>36</v>
      </c>
      <c r="E230" t="s">
        <v>25</v>
      </c>
      <c r="F230">
        <v>11</v>
      </c>
      <c r="G230">
        <v>89.99</v>
      </c>
      <c r="H230">
        <v>45</v>
      </c>
      <c r="I230">
        <f t="shared" si="15"/>
        <v>989.89</v>
      </c>
      <c r="J230">
        <f t="shared" si="16"/>
        <v>495</v>
      </c>
      <c r="K230">
        <f t="shared" si="17"/>
        <v>494.89</v>
      </c>
      <c r="L230" s="2">
        <f t="shared" si="18"/>
        <v>0.499944438270919</v>
      </c>
      <c r="M230" t="str">
        <f t="shared" si="19"/>
        <v>Jun-2025</v>
      </c>
    </row>
    <row r="231" spans="1:13" x14ac:dyDescent="0.3">
      <c r="A231" s="1">
        <v>45827</v>
      </c>
      <c r="B231" t="s">
        <v>12</v>
      </c>
      <c r="C231" t="s">
        <v>9</v>
      </c>
      <c r="D231" t="s">
        <v>36</v>
      </c>
      <c r="E231" t="s">
        <v>25</v>
      </c>
      <c r="F231">
        <v>18</v>
      </c>
      <c r="G231">
        <v>89.99</v>
      </c>
      <c r="H231">
        <v>45</v>
      </c>
      <c r="I231">
        <f t="shared" si="15"/>
        <v>1619.82</v>
      </c>
      <c r="J231">
        <f t="shared" si="16"/>
        <v>810</v>
      </c>
      <c r="K231">
        <f t="shared" si="17"/>
        <v>809.81999999999994</v>
      </c>
      <c r="L231" s="2">
        <f t="shared" si="18"/>
        <v>0.49994443827091894</v>
      </c>
      <c r="M231" t="str">
        <f t="shared" si="19"/>
        <v>Jun-2025</v>
      </c>
    </row>
    <row r="232" spans="1:13" x14ac:dyDescent="0.3">
      <c r="A232" s="1">
        <v>45828</v>
      </c>
      <c r="B232" t="s">
        <v>18</v>
      </c>
      <c r="C232" t="s">
        <v>19</v>
      </c>
      <c r="D232" t="s">
        <v>26</v>
      </c>
      <c r="E232" t="s">
        <v>25</v>
      </c>
      <c r="F232">
        <v>5</v>
      </c>
      <c r="G232">
        <v>1250</v>
      </c>
      <c r="H232">
        <v>850</v>
      </c>
      <c r="I232">
        <f t="shared" si="15"/>
        <v>6250</v>
      </c>
      <c r="J232">
        <f t="shared" si="16"/>
        <v>4250</v>
      </c>
      <c r="K232">
        <f t="shared" si="17"/>
        <v>2000</v>
      </c>
      <c r="L232" s="2">
        <f t="shared" si="18"/>
        <v>0.32</v>
      </c>
      <c r="M232" t="str">
        <f t="shared" si="19"/>
        <v>Jun-2025</v>
      </c>
    </row>
    <row r="233" spans="1:13" x14ac:dyDescent="0.3">
      <c r="A233" s="1">
        <v>45829</v>
      </c>
      <c r="B233" t="s">
        <v>31</v>
      </c>
      <c r="C233" t="s">
        <v>32</v>
      </c>
      <c r="D233" t="s">
        <v>34</v>
      </c>
      <c r="E233" t="s">
        <v>11</v>
      </c>
      <c r="F233">
        <v>7</v>
      </c>
      <c r="G233">
        <v>299.99</v>
      </c>
      <c r="H233">
        <v>160</v>
      </c>
      <c r="I233">
        <f t="shared" si="15"/>
        <v>2099.9300000000003</v>
      </c>
      <c r="J233">
        <f t="shared" si="16"/>
        <v>1120</v>
      </c>
      <c r="K233">
        <f t="shared" si="17"/>
        <v>979.93000000000029</v>
      </c>
      <c r="L233" s="2">
        <f t="shared" si="18"/>
        <v>0.4666488882962766</v>
      </c>
      <c r="M233" t="str">
        <f t="shared" si="19"/>
        <v>Jun-2025</v>
      </c>
    </row>
    <row r="234" spans="1:13" x14ac:dyDescent="0.3">
      <c r="A234" s="1">
        <v>45829</v>
      </c>
      <c r="B234" t="s">
        <v>22</v>
      </c>
      <c r="C234" t="s">
        <v>23</v>
      </c>
      <c r="D234" t="s">
        <v>33</v>
      </c>
      <c r="E234" t="s">
        <v>25</v>
      </c>
      <c r="F234">
        <v>9</v>
      </c>
      <c r="G234">
        <v>119.99</v>
      </c>
      <c r="H234">
        <v>60</v>
      </c>
      <c r="I234">
        <f t="shared" si="15"/>
        <v>1079.9099999999999</v>
      </c>
      <c r="J234">
        <f t="shared" si="16"/>
        <v>540</v>
      </c>
      <c r="K234">
        <f t="shared" si="17"/>
        <v>539.90999999999985</v>
      </c>
      <c r="L234" s="2">
        <f t="shared" si="18"/>
        <v>0.49995832986082167</v>
      </c>
      <c r="M234" t="str">
        <f t="shared" si="19"/>
        <v>Jun-2025</v>
      </c>
    </row>
    <row r="235" spans="1:13" x14ac:dyDescent="0.3">
      <c r="A235" s="1">
        <v>45829</v>
      </c>
      <c r="B235" t="s">
        <v>31</v>
      </c>
      <c r="C235" t="s">
        <v>32</v>
      </c>
      <c r="D235" t="s">
        <v>13</v>
      </c>
      <c r="E235" t="s">
        <v>14</v>
      </c>
      <c r="F235">
        <v>12</v>
      </c>
      <c r="G235">
        <v>34.99</v>
      </c>
      <c r="H235">
        <v>14</v>
      </c>
      <c r="I235">
        <f t="shared" si="15"/>
        <v>419.88</v>
      </c>
      <c r="J235">
        <f t="shared" si="16"/>
        <v>168</v>
      </c>
      <c r="K235">
        <f t="shared" si="17"/>
        <v>251.88</v>
      </c>
      <c r="L235" s="2">
        <f t="shared" si="18"/>
        <v>0.5998856816233209</v>
      </c>
      <c r="M235" t="str">
        <f t="shared" si="19"/>
        <v>Jun-2025</v>
      </c>
    </row>
    <row r="236" spans="1:13" x14ac:dyDescent="0.3">
      <c r="A236" s="1">
        <v>45829</v>
      </c>
      <c r="B236" t="s">
        <v>31</v>
      </c>
      <c r="C236" t="s">
        <v>32</v>
      </c>
      <c r="D236" t="s">
        <v>28</v>
      </c>
      <c r="E236" t="s">
        <v>21</v>
      </c>
      <c r="F236">
        <v>27</v>
      </c>
      <c r="G236">
        <v>79.989999999999995</v>
      </c>
      <c r="H236">
        <v>40</v>
      </c>
      <c r="I236">
        <f t="shared" si="15"/>
        <v>2159.73</v>
      </c>
      <c r="J236">
        <f t="shared" si="16"/>
        <v>1080</v>
      </c>
      <c r="K236">
        <f t="shared" si="17"/>
        <v>1079.73</v>
      </c>
      <c r="L236" s="2">
        <f t="shared" si="18"/>
        <v>0.49993749218652334</v>
      </c>
      <c r="M236" t="str">
        <f t="shared" si="19"/>
        <v>Jun-2025</v>
      </c>
    </row>
    <row r="237" spans="1:13" x14ac:dyDescent="0.3">
      <c r="A237" s="1">
        <v>45830</v>
      </c>
      <c r="B237" t="s">
        <v>8</v>
      </c>
      <c r="C237" t="s">
        <v>9</v>
      </c>
      <c r="D237" t="s">
        <v>34</v>
      </c>
      <c r="E237" t="s">
        <v>11</v>
      </c>
      <c r="F237">
        <v>13</v>
      </c>
      <c r="G237">
        <v>299.99</v>
      </c>
      <c r="H237">
        <v>160</v>
      </c>
      <c r="I237">
        <f t="shared" si="15"/>
        <v>3899.87</v>
      </c>
      <c r="J237">
        <f t="shared" si="16"/>
        <v>2080</v>
      </c>
      <c r="K237">
        <f t="shared" si="17"/>
        <v>1819.87</v>
      </c>
      <c r="L237" s="2">
        <f t="shared" si="18"/>
        <v>0.46664888829627654</v>
      </c>
      <c r="M237" t="str">
        <f t="shared" si="19"/>
        <v>Jun-2025</v>
      </c>
    </row>
    <row r="238" spans="1:13" x14ac:dyDescent="0.3">
      <c r="A238" s="1">
        <v>45831</v>
      </c>
      <c r="B238" t="s">
        <v>31</v>
      </c>
      <c r="C238" t="s">
        <v>32</v>
      </c>
      <c r="D238" t="s">
        <v>29</v>
      </c>
      <c r="E238" t="s">
        <v>14</v>
      </c>
      <c r="F238">
        <v>22</v>
      </c>
      <c r="G238">
        <v>49.99</v>
      </c>
      <c r="H238">
        <v>22</v>
      </c>
      <c r="I238">
        <f t="shared" si="15"/>
        <v>1099.78</v>
      </c>
      <c r="J238">
        <f t="shared" si="16"/>
        <v>484</v>
      </c>
      <c r="K238">
        <f t="shared" si="17"/>
        <v>615.78</v>
      </c>
      <c r="L238" s="2">
        <f t="shared" si="18"/>
        <v>0.55991198239647932</v>
      </c>
      <c r="M238" t="str">
        <f t="shared" si="19"/>
        <v>Jun-2025</v>
      </c>
    </row>
    <row r="239" spans="1:13" x14ac:dyDescent="0.3">
      <c r="A239" s="1">
        <v>45832</v>
      </c>
      <c r="B239" t="s">
        <v>22</v>
      </c>
      <c r="C239" t="s">
        <v>23</v>
      </c>
      <c r="D239" t="s">
        <v>10</v>
      </c>
      <c r="E239" t="s">
        <v>11</v>
      </c>
      <c r="F239">
        <v>4</v>
      </c>
      <c r="G239">
        <v>599.99</v>
      </c>
      <c r="H239">
        <v>360</v>
      </c>
      <c r="I239">
        <f t="shared" si="15"/>
        <v>2399.96</v>
      </c>
      <c r="J239">
        <f t="shared" si="16"/>
        <v>1440</v>
      </c>
      <c r="K239">
        <f t="shared" si="17"/>
        <v>959.96</v>
      </c>
      <c r="L239" s="2">
        <f t="shared" si="18"/>
        <v>0.39998999983333056</v>
      </c>
      <c r="M239" t="str">
        <f t="shared" si="19"/>
        <v>Jun-2025</v>
      </c>
    </row>
    <row r="240" spans="1:13" x14ac:dyDescent="0.3">
      <c r="A240" s="1">
        <v>45833</v>
      </c>
      <c r="B240" t="s">
        <v>37</v>
      </c>
      <c r="C240" t="s">
        <v>16</v>
      </c>
      <c r="D240" t="s">
        <v>39</v>
      </c>
      <c r="E240" t="s">
        <v>25</v>
      </c>
      <c r="F240">
        <v>7</v>
      </c>
      <c r="G240">
        <v>149.99</v>
      </c>
      <c r="H240">
        <v>75</v>
      </c>
      <c r="I240">
        <f t="shared" si="15"/>
        <v>1049.93</v>
      </c>
      <c r="J240">
        <f t="shared" si="16"/>
        <v>525</v>
      </c>
      <c r="K240">
        <f t="shared" si="17"/>
        <v>524.93000000000006</v>
      </c>
      <c r="L240" s="2">
        <f t="shared" si="18"/>
        <v>0.49996666444429633</v>
      </c>
      <c r="M240" t="str">
        <f t="shared" si="19"/>
        <v>Jun-2025</v>
      </c>
    </row>
    <row r="241" spans="1:13" x14ac:dyDescent="0.3">
      <c r="A241" s="1">
        <v>45833</v>
      </c>
      <c r="B241" t="s">
        <v>31</v>
      </c>
      <c r="C241" t="s">
        <v>32</v>
      </c>
      <c r="D241" t="s">
        <v>20</v>
      </c>
      <c r="E241" t="s">
        <v>21</v>
      </c>
      <c r="F241">
        <v>39</v>
      </c>
      <c r="G241">
        <v>24.99</v>
      </c>
      <c r="H241">
        <v>10</v>
      </c>
      <c r="I241">
        <f t="shared" si="15"/>
        <v>974.6099999999999</v>
      </c>
      <c r="J241">
        <f t="shared" si="16"/>
        <v>390</v>
      </c>
      <c r="K241">
        <f t="shared" si="17"/>
        <v>584.6099999999999</v>
      </c>
      <c r="L241" s="2">
        <f t="shared" si="18"/>
        <v>0.59983993597438967</v>
      </c>
      <c r="M241" t="str">
        <f t="shared" si="19"/>
        <v>Jun-2025</v>
      </c>
    </row>
    <row r="242" spans="1:13" x14ac:dyDescent="0.3">
      <c r="A242" s="1">
        <v>45836</v>
      </c>
      <c r="B242" t="s">
        <v>27</v>
      </c>
      <c r="C242" t="s">
        <v>23</v>
      </c>
      <c r="D242" t="s">
        <v>13</v>
      </c>
      <c r="E242" t="s">
        <v>14</v>
      </c>
      <c r="F242">
        <v>22</v>
      </c>
      <c r="G242">
        <v>34.99</v>
      </c>
      <c r="H242">
        <v>14</v>
      </c>
      <c r="I242">
        <f t="shared" si="15"/>
        <v>769.78000000000009</v>
      </c>
      <c r="J242">
        <f t="shared" si="16"/>
        <v>308</v>
      </c>
      <c r="K242">
        <f t="shared" si="17"/>
        <v>461.78000000000009</v>
      </c>
      <c r="L242" s="2">
        <f t="shared" si="18"/>
        <v>0.59988568162332101</v>
      </c>
      <c r="M242" t="str">
        <f t="shared" si="19"/>
        <v>Jun-2025</v>
      </c>
    </row>
    <row r="243" spans="1:13" x14ac:dyDescent="0.3">
      <c r="A243" s="1">
        <v>45837</v>
      </c>
      <c r="B243" t="s">
        <v>18</v>
      </c>
      <c r="C243" t="s">
        <v>19</v>
      </c>
      <c r="D243" t="s">
        <v>20</v>
      </c>
      <c r="E243" t="s">
        <v>21</v>
      </c>
      <c r="F243">
        <v>46</v>
      </c>
      <c r="G243">
        <v>24.99</v>
      </c>
      <c r="H243">
        <v>10</v>
      </c>
      <c r="I243">
        <f t="shared" si="15"/>
        <v>1149.54</v>
      </c>
      <c r="J243">
        <f t="shared" si="16"/>
        <v>460</v>
      </c>
      <c r="K243">
        <f t="shared" si="17"/>
        <v>689.54</v>
      </c>
      <c r="L243" s="2">
        <f t="shared" si="18"/>
        <v>0.59983993597438978</v>
      </c>
      <c r="M243" t="str">
        <f t="shared" si="19"/>
        <v>Jun-2025</v>
      </c>
    </row>
    <row r="244" spans="1:13" x14ac:dyDescent="0.3">
      <c r="A244" s="1">
        <v>45837</v>
      </c>
      <c r="B244" t="s">
        <v>31</v>
      </c>
      <c r="C244" t="s">
        <v>32</v>
      </c>
      <c r="D244" t="s">
        <v>36</v>
      </c>
      <c r="E244" t="s">
        <v>25</v>
      </c>
      <c r="F244">
        <v>43</v>
      </c>
      <c r="G244">
        <v>89.99</v>
      </c>
      <c r="H244">
        <v>45</v>
      </c>
      <c r="I244">
        <f t="shared" si="15"/>
        <v>3869.5699999999997</v>
      </c>
      <c r="J244">
        <f t="shared" si="16"/>
        <v>1935</v>
      </c>
      <c r="K244">
        <f t="shared" si="17"/>
        <v>1934.5699999999997</v>
      </c>
      <c r="L244" s="2">
        <f t="shared" si="18"/>
        <v>0.49994443827091894</v>
      </c>
      <c r="M244" t="str">
        <f t="shared" si="19"/>
        <v>Jun-2025</v>
      </c>
    </row>
    <row r="245" spans="1:13" x14ac:dyDescent="0.3">
      <c r="A245" s="1">
        <v>45837</v>
      </c>
      <c r="B245" t="s">
        <v>18</v>
      </c>
      <c r="C245" t="s">
        <v>19</v>
      </c>
      <c r="D245" t="s">
        <v>39</v>
      </c>
      <c r="E245" t="s">
        <v>25</v>
      </c>
      <c r="F245">
        <v>1</v>
      </c>
      <c r="G245">
        <v>149.99</v>
      </c>
      <c r="H245">
        <v>75</v>
      </c>
      <c r="I245">
        <f t="shared" si="15"/>
        <v>149.99</v>
      </c>
      <c r="J245">
        <f t="shared" si="16"/>
        <v>75</v>
      </c>
      <c r="K245">
        <f t="shared" si="17"/>
        <v>74.990000000000009</v>
      </c>
      <c r="L245" s="2">
        <f t="shared" si="18"/>
        <v>0.49996666444429633</v>
      </c>
      <c r="M245" t="str">
        <f t="shared" si="19"/>
        <v>Jun-2025</v>
      </c>
    </row>
    <row r="246" spans="1:13" x14ac:dyDescent="0.3">
      <c r="A246" s="1">
        <v>45838</v>
      </c>
      <c r="B246" t="s">
        <v>27</v>
      </c>
      <c r="C246" t="s">
        <v>23</v>
      </c>
      <c r="D246" t="s">
        <v>39</v>
      </c>
      <c r="E246" t="s">
        <v>25</v>
      </c>
      <c r="F246">
        <v>14</v>
      </c>
      <c r="G246">
        <v>149.99</v>
      </c>
      <c r="H246">
        <v>75</v>
      </c>
      <c r="I246">
        <f t="shared" si="15"/>
        <v>2099.86</v>
      </c>
      <c r="J246">
        <f t="shared" si="16"/>
        <v>1050</v>
      </c>
      <c r="K246">
        <f t="shared" si="17"/>
        <v>1049.8600000000001</v>
      </c>
      <c r="L246" s="2">
        <f t="shared" si="18"/>
        <v>0.49996666444429633</v>
      </c>
      <c r="M246" t="str">
        <f t="shared" si="19"/>
        <v>Jun-2025</v>
      </c>
    </row>
    <row r="247" spans="1:13" x14ac:dyDescent="0.3">
      <c r="A247" s="1">
        <v>45841</v>
      </c>
      <c r="B247" t="s">
        <v>27</v>
      </c>
      <c r="C247" t="s">
        <v>23</v>
      </c>
      <c r="D247" t="s">
        <v>39</v>
      </c>
      <c r="E247" t="s">
        <v>25</v>
      </c>
      <c r="F247">
        <v>8</v>
      </c>
      <c r="G247">
        <v>149.99</v>
      </c>
      <c r="H247">
        <v>75</v>
      </c>
      <c r="I247">
        <f t="shared" si="15"/>
        <v>1199.92</v>
      </c>
      <c r="J247">
        <f t="shared" si="16"/>
        <v>600</v>
      </c>
      <c r="K247">
        <f t="shared" si="17"/>
        <v>599.92000000000007</v>
      </c>
      <c r="L247" s="2">
        <f t="shared" si="18"/>
        <v>0.49996666444429633</v>
      </c>
      <c r="M247" t="str">
        <f t="shared" si="19"/>
        <v>Jul-2025</v>
      </c>
    </row>
    <row r="248" spans="1:13" x14ac:dyDescent="0.3">
      <c r="A248" s="1">
        <v>45842</v>
      </c>
      <c r="B248" t="s">
        <v>18</v>
      </c>
      <c r="C248" t="s">
        <v>19</v>
      </c>
      <c r="D248" t="s">
        <v>36</v>
      </c>
      <c r="E248" t="s">
        <v>25</v>
      </c>
      <c r="F248">
        <v>39</v>
      </c>
      <c r="G248">
        <v>89.99</v>
      </c>
      <c r="H248">
        <v>45</v>
      </c>
      <c r="I248">
        <f t="shared" si="15"/>
        <v>3509.6099999999997</v>
      </c>
      <c r="J248">
        <f t="shared" si="16"/>
        <v>1755</v>
      </c>
      <c r="K248">
        <f t="shared" si="17"/>
        <v>1754.6099999999997</v>
      </c>
      <c r="L248" s="2">
        <f t="shared" si="18"/>
        <v>0.49994443827091894</v>
      </c>
      <c r="M248" t="str">
        <f t="shared" si="19"/>
        <v>Jul-2025</v>
      </c>
    </row>
    <row r="249" spans="1:13" x14ac:dyDescent="0.3">
      <c r="A249" s="1">
        <v>45843</v>
      </c>
      <c r="B249" t="s">
        <v>15</v>
      </c>
      <c r="C249" t="s">
        <v>16</v>
      </c>
      <c r="D249" t="s">
        <v>29</v>
      </c>
      <c r="E249" t="s">
        <v>14</v>
      </c>
      <c r="F249">
        <v>48</v>
      </c>
      <c r="G249">
        <v>49.99</v>
      </c>
      <c r="H249">
        <v>22</v>
      </c>
      <c r="I249">
        <f t="shared" si="15"/>
        <v>2399.52</v>
      </c>
      <c r="J249">
        <f t="shared" si="16"/>
        <v>1056</v>
      </c>
      <c r="K249">
        <f t="shared" si="17"/>
        <v>1343.52</v>
      </c>
      <c r="L249" s="2">
        <f t="shared" si="18"/>
        <v>0.55991198239647932</v>
      </c>
      <c r="M249" t="str">
        <f t="shared" si="19"/>
        <v>Jul-2025</v>
      </c>
    </row>
    <row r="250" spans="1:13" x14ac:dyDescent="0.3">
      <c r="A250" s="1">
        <v>45844</v>
      </c>
      <c r="B250" t="s">
        <v>12</v>
      </c>
      <c r="C250" t="s">
        <v>9</v>
      </c>
      <c r="D250" t="s">
        <v>20</v>
      </c>
      <c r="E250" t="s">
        <v>21</v>
      </c>
      <c r="F250">
        <v>49</v>
      </c>
      <c r="G250">
        <v>24.99</v>
      </c>
      <c r="H250">
        <v>10</v>
      </c>
      <c r="I250">
        <f t="shared" si="15"/>
        <v>1224.51</v>
      </c>
      <c r="J250">
        <f t="shared" si="16"/>
        <v>490</v>
      </c>
      <c r="K250">
        <f t="shared" si="17"/>
        <v>734.51</v>
      </c>
      <c r="L250" s="2">
        <f t="shared" si="18"/>
        <v>0.59983993597438978</v>
      </c>
      <c r="M250" t="str">
        <f t="shared" si="19"/>
        <v>Jul-2025</v>
      </c>
    </row>
    <row r="251" spans="1:13" x14ac:dyDescent="0.3">
      <c r="A251" s="1">
        <v>45844</v>
      </c>
      <c r="B251" t="s">
        <v>8</v>
      </c>
      <c r="C251" t="s">
        <v>9</v>
      </c>
      <c r="D251" t="s">
        <v>17</v>
      </c>
      <c r="E251" t="s">
        <v>11</v>
      </c>
      <c r="F251">
        <v>2</v>
      </c>
      <c r="G251">
        <v>179.99</v>
      </c>
      <c r="H251">
        <v>95</v>
      </c>
      <c r="I251">
        <f t="shared" si="15"/>
        <v>359.98</v>
      </c>
      <c r="J251">
        <f t="shared" si="16"/>
        <v>190</v>
      </c>
      <c r="K251">
        <f t="shared" si="17"/>
        <v>169.98000000000002</v>
      </c>
      <c r="L251" s="2">
        <f t="shared" si="18"/>
        <v>0.47219289960553368</v>
      </c>
      <c r="M251" t="str">
        <f t="shared" si="19"/>
        <v>Jul-2025</v>
      </c>
    </row>
    <row r="252" spans="1:13" x14ac:dyDescent="0.3">
      <c r="A252" s="1">
        <v>45844</v>
      </c>
      <c r="B252" t="s">
        <v>15</v>
      </c>
      <c r="C252" t="s">
        <v>16</v>
      </c>
      <c r="D252" t="s">
        <v>20</v>
      </c>
      <c r="E252" t="s">
        <v>21</v>
      </c>
      <c r="F252">
        <v>7</v>
      </c>
      <c r="G252">
        <v>24.99</v>
      </c>
      <c r="H252">
        <v>10</v>
      </c>
      <c r="I252">
        <f t="shared" si="15"/>
        <v>174.92999999999998</v>
      </c>
      <c r="J252">
        <f t="shared" si="16"/>
        <v>70</v>
      </c>
      <c r="K252">
        <f t="shared" si="17"/>
        <v>104.92999999999998</v>
      </c>
      <c r="L252" s="2">
        <f t="shared" si="18"/>
        <v>0.59983993597438967</v>
      </c>
      <c r="M252" t="str">
        <f t="shared" si="19"/>
        <v>Jul-2025</v>
      </c>
    </row>
    <row r="253" spans="1:13" x14ac:dyDescent="0.3">
      <c r="A253" s="1">
        <v>45845</v>
      </c>
      <c r="B253" t="s">
        <v>15</v>
      </c>
      <c r="C253" t="s">
        <v>16</v>
      </c>
      <c r="D253" t="s">
        <v>35</v>
      </c>
      <c r="E253" t="s">
        <v>25</v>
      </c>
      <c r="F253">
        <v>5</v>
      </c>
      <c r="G253">
        <v>349.99</v>
      </c>
      <c r="H253">
        <v>210</v>
      </c>
      <c r="I253">
        <f t="shared" si="15"/>
        <v>1749.95</v>
      </c>
      <c r="J253">
        <f t="shared" si="16"/>
        <v>1050</v>
      </c>
      <c r="K253">
        <f t="shared" si="17"/>
        <v>699.95</v>
      </c>
      <c r="L253" s="2">
        <f t="shared" si="18"/>
        <v>0.39998285665304723</v>
      </c>
      <c r="M253" t="str">
        <f t="shared" si="19"/>
        <v>Jul-2025</v>
      </c>
    </row>
    <row r="254" spans="1:13" x14ac:dyDescent="0.3">
      <c r="A254" s="1">
        <v>45845</v>
      </c>
      <c r="B254" t="s">
        <v>37</v>
      </c>
      <c r="C254" t="s">
        <v>16</v>
      </c>
      <c r="D254" t="s">
        <v>10</v>
      </c>
      <c r="E254" t="s">
        <v>11</v>
      </c>
      <c r="F254">
        <v>3</v>
      </c>
      <c r="G254">
        <v>599.99</v>
      </c>
      <c r="H254">
        <v>360</v>
      </c>
      <c r="I254">
        <f t="shared" si="15"/>
        <v>1799.97</v>
      </c>
      <c r="J254">
        <f t="shared" si="16"/>
        <v>1080</v>
      </c>
      <c r="K254">
        <f t="shared" si="17"/>
        <v>719.97</v>
      </c>
      <c r="L254" s="2">
        <f t="shared" si="18"/>
        <v>0.39998999983333056</v>
      </c>
      <c r="M254" t="str">
        <f t="shared" si="19"/>
        <v>Jul-2025</v>
      </c>
    </row>
    <row r="255" spans="1:13" x14ac:dyDescent="0.3">
      <c r="A255" s="1">
        <v>45845</v>
      </c>
      <c r="B255" t="s">
        <v>8</v>
      </c>
      <c r="C255" t="s">
        <v>9</v>
      </c>
      <c r="D255" t="s">
        <v>28</v>
      </c>
      <c r="E255" t="s">
        <v>21</v>
      </c>
      <c r="F255">
        <v>44</v>
      </c>
      <c r="G255">
        <v>79.989999999999995</v>
      </c>
      <c r="H255">
        <v>40</v>
      </c>
      <c r="I255">
        <f t="shared" si="15"/>
        <v>3519.56</v>
      </c>
      <c r="J255">
        <f t="shared" si="16"/>
        <v>1760</v>
      </c>
      <c r="K255">
        <f t="shared" si="17"/>
        <v>1759.56</v>
      </c>
      <c r="L255" s="2">
        <f t="shared" si="18"/>
        <v>0.49993749218652328</v>
      </c>
      <c r="M255" t="str">
        <f t="shared" si="19"/>
        <v>Jul-2025</v>
      </c>
    </row>
    <row r="256" spans="1:13" x14ac:dyDescent="0.3">
      <c r="A256" s="1">
        <v>45846</v>
      </c>
      <c r="B256" t="s">
        <v>8</v>
      </c>
      <c r="C256" t="s">
        <v>9</v>
      </c>
      <c r="D256" t="s">
        <v>17</v>
      </c>
      <c r="E256" t="s">
        <v>11</v>
      </c>
      <c r="F256">
        <v>10</v>
      </c>
      <c r="G256">
        <v>179.99</v>
      </c>
      <c r="H256">
        <v>95</v>
      </c>
      <c r="I256">
        <f t="shared" si="15"/>
        <v>1799.9</v>
      </c>
      <c r="J256">
        <f t="shared" si="16"/>
        <v>950</v>
      </c>
      <c r="K256">
        <f t="shared" si="17"/>
        <v>849.90000000000009</v>
      </c>
      <c r="L256" s="2">
        <f t="shared" si="18"/>
        <v>0.47219289960553368</v>
      </c>
      <c r="M256" t="str">
        <f t="shared" si="19"/>
        <v>Jul-2025</v>
      </c>
    </row>
    <row r="257" spans="1:13" x14ac:dyDescent="0.3">
      <c r="A257" s="1">
        <v>45846</v>
      </c>
      <c r="B257" t="s">
        <v>15</v>
      </c>
      <c r="C257" t="s">
        <v>16</v>
      </c>
      <c r="D257" t="s">
        <v>10</v>
      </c>
      <c r="E257" t="s">
        <v>11</v>
      </c>
      <c r="F257">
        <v>4</v>
      </c>
      <c r="G257">
        <v>599.99</v>
      </c>
      <c r="H257">
        <v>360</v>
      </c>
      <c r="I257">
        <f t="shared" si="15"/>
        <v>2399.96</v>
      </c>
      <c r="J257">
        <f t="shared" si="16"/>
        <v>1440</v>
      </c>
      <c r="K257">
        <f t="shared" si="17"/>
        <v>959.96</v>
      </c>
      <c r="L257" s="2">
        <f t="shared" si="18"/>
        <v>0.39998999983333056</v>
      </c>
      <c r="M257" t="str">
        <f t="shared" si="19"/>
        <v>Jul-2025</v>
      </c>
    </row>
    <row r="258" spans="1:13" x14ac:dyDescent="0.3">
      <c r="A258" s="1">
        <v>45847</v>
      </c>
      <c r="B258" t="s">
        <v>31</v>
      </c>
      <c r="C258" t="s">
        <v>32</v>
      </c>
      <c r="D258" t="s">
        <v>24</v>
      </c>
      <c r="E258" t="s">
        <v>25</v>
      </c>
      <c r="F258">
        <v>43</v>
      </c>
      <c r="G258">
        <v>29.99</v>
      </c>
      <c r="H258">
        <v>12</v>
      </c>
      <c r="I258">
        <f t="shared" si="15"/>
        <v>1289.57</v>
      </c>
      <c r="J258">
        <f t="shared" si="16"/>
        <v>516</v>
      </c>
      <c r="K258">
        <f t="shared" si="17"/>
        <v>773.56999999999994</v>
      </c>
      <c r="L258" s="2">
        <f t="shared" si="18"/>
        <v>0.5998666222074025</v>
      </c>
      <c r="M258" t="str">
        <f t="shared" si="19"/>
        <v>Jul-2025</v>
      </c>
    </row>
    <row r="259" spans="1:13" x14ac:dyDescent="0.3">
      <c r="A259" s="1">
        <v>45847</v>
      </c>
      <c r="B259" t="s">
        <v>37</v>
      </c>
      <c r="C259" t="s">
        <v>16</v>
      </c>
      <c r="D259" t="s">
        <v>34</v>
      </c>
      <c r="E259" t="s">
        <v>11</v>
      </c>
      <c r="F259">
        <v>8</v>
      </c>
      <c r="G259">
        <v>299.99</v>
      </c>
      <c r="H259">
        <v>160</v>
      </c>
      <c r="I259">
        <f t="shared" ref="I259:I322" si="20">F259*G259</f>
        <v>2399.92</v>
      </c>
      <c r="J259">
        <f t="shared" ref="J259:J322" si="21">F259*H259</f>
        <v>1280</v>
      </c>
      <c r="K259">
        <f t="shared" ref="K259:K322" si="22">I259-J259</f>
        <v>1119.92</v>
      </c>
      <c r="L259" s="2">
        <f t="shared" ref="L259:L322" si="23">K259/I259</f>
        <v>0.46664888829627654</v>
      </c>
      <c r="M259" t="str">
        <f t="shared" ref="M259:M322" si="24">TEXT(A259,"mmm-yyyy")</f>
        <v>Jul-2025</v>
      </c>
    </row>
    <row r="260" spans="1:13" x14ac:dyDescent="0.3">
      <c r="A260" s="1">
        <v>45847</v>
      </c>
      <c r="B260" t="s">
        <v>37</v>
      </c>
      <c r="C260" t="s">
        <v>16</v>
      </c>
      <c r="D260" t="s">
        <v>34</v>
      </c>
      <c r="E260" t="s">
        <v>11</v>
      </c>
      <c r="F260">
        <v>1</v>
      </c>
      <c r="G260">
        <v>299.99</v>
      </c>
      <c r="H260">
        <v>160</v>
      </c>
      <c r="I260">
        <f t="shared" si="20"/>
        <v>299.99</v>
      </c>
      <c r="J260">
        <f t="shared" si="21"/>
        <v>160</v>
      </c>
      <c r="K260">
        <f t="shared" si="22"/>
        <v>139.99</v>
      </c>
      <c r="L260" s="2">
        <f t="shared" si="23"/>
        <v>0.46664888829627654</v>
      </c>
      <c r="M260" t="str">
        <f t="shared" si="24"/>
        <v>Jul-2025</v>
      </c>
    </row>
    <row r="261" spans="1:13" x14ac:dyDescent="0.3">
      <c r="A261" s="1">
        <v>45847</v>
      </c>
      <c r="B261" t="s">
        <v>27</v>
      </c>
      <c r="C261" t="s">
        <v>23</v>
      </c>
      <c r="D261" t="s">
        <v>38</v>
      </c>
      <c r="E261" t="s">
        <v>11</v>
      </c>
      <c r="F261">
        <v>4</v>
      </c>
      <c r="G261">
        <v>850</v>
      </c>
      <c r="H261">
        <v>520</v>
      </c>
      <c r="I261">
        <f t="shared" si="20"/>
        <v>3400</v>
      </c>
      <c r="J261">
        <f t="shared" si="21"/>
        <v>2080</v>
      </c>
      <c r="K261">
        <f t="shared" si="22"/>
        <v>1320</v>
      </c>
      <c r="L261" s="2">
        <f t="shared" si="23"/>
        <v>0.38823529411764707</v>
      </c>
      <c r="M261" t="str">
        <f t="shared" si="24"/>
        <v>Jul-2025</v>
      </c>
    </row>
    <row r="262" spans="1:13" x14ac:dyDescent="0.3">
      <c r="A262" s="1">
        <v>45848</v>
      </c>
      <c r="B262" t="s">
        <v>22</v>
      </c>
      <c r="C262" t="s">
        <v>23</v>
      </c>
      <c r="D262" t="s">
        <v>34</v>
      </c>
      <c r="E262" t="s">
        <v>11</v>
      </c>
      <c r="F262">
        <v>13</v>
      </c>
      <c r="G262">
        <v>299.99</v>
      </c>
      <c r="H262">
        <v>160</v>
      </c>
      <c r="I262">
        <f t="shared" si="20"/>
        <v>3899.87</v>
      </c>
      <c r="J262">
        <f t="shared" si="21"/>
        <v>2080</v>
      </c>
      <c r="K262">
        <f t="shared" si="22"/>
        <v>1819.87</v>
      </c>
      <c r="L262" s="2">
        <f t="shared" si="23"/>
        <v>0.46664888829627654</v>
      </c>
      <c r="M262" t="str">
        <f t="shared" si="24"/>
        <v>Jul-2025</v>
      </c>
    </row>
    <row r="263" spans="1:13" x14ac:dyDescent="0.3">
      <c r="A263" s="1">
        <v>45848</v>
      </c>
      <c r="B263" t="s">
        <v>8</v>
      </c>
      <c r="C263" t="s">
        <v>9</v>
      </c>
      <c r="D263" t="s">
        <v>20</v>
      </c>
      <c r="E263" t="s">
        <v>21</v>
      </c>
      <c r="F263">
        <v>26</v>
      </c>
      <c r="G263">
        <v>24.99</v>
      </c>
      <c r="H263">
        <v>10</v>
      </c>
      <c r="I263">
        <f t="shared" si="20"/>
        <v>649.74</v>
      </c>
      <c r="J263">
        <f t="shared" si="21"/>
        <v>260</v>
      </c>
      <c r="K263">
        <f t="shared" si="22"/>
        <v>389.74</v>
      </c>
      <c r="L263" s="2">
        <f t="shared" si="23"/>
        <v>0.59983993597438978</v>
      </c>
      <c r="M263" t="str">
        <f t="shared" si="24"/>
        <v>Jul-2025</v>
      </c>
    </row>
    <row r="264" spans="1:13" x14ac:dyDescent="0.3">
      <c r="A264" s="1">
        <v>45849</v>
      </c>
      <c r="B264" t="s">
        <v>15</v>
      </c>
      <c r="C264" t="s">
        <v>16</v>
      </c>
      <c r="D264" t="s">
        <v>36</v>
      </c>
      <c r="E264" t="s">
        <v>25</v>
      </c>
      <c r="F264">
        <v>29</v>
      </c>
      <c r="G264">
        <v>89.99</v>
      </c>
      <c r="H264">
        <v>45</v>
      </c>
      <c r="I264">
        <f t="shared" si="20"/>
        <v>2609.71</v>
      </c>
      <c r="J264">
        <f t="shared" si="21"/>
        <v>1305</v>
      </c>
      <c r="K264">
        <f t="shared" si="22"/>
        <v>1304.71</v>
      </c>
      <c r="L264" s="2">
        <f t="shared" si="23"/>
        <v>0.499944438270919</v>
      </c>
      <c r="M264" t="str">
        <f t="shared" si="24"/>
        <v>Jul-2025</v>
      </c>
    </row>
    <row r="265" spans="1:13" x14ac:dyDescent="0.3">
      <c r="A265" s="1">
        <v>45849</v>
      </c>
      <c r="B265" t="s">
        <v>27</v>
      </c>
      <c r="C265" t="s">
        <v>23</v>
      </c>
      <c r="D265" t="s">
        <v>28</v>
      </c>
      <c r="E265" t="s">
        <v>21</v>
      </c>
      <c r="F265">
        <v>17</v>
      </c>
      <c r="G265">
        <v>79.989999999999995</v>
      </c>
      <c r="H265">
        <v>40</v>
      </c>
      <c r="I265">
        <f t="shared" si="20"/>
        <v>1359.83</v>
      </c>
      <c r="J265">
        <f t="shared" si="21"/>
        <v>680</v>
      </c>
      <c r="K265">
        <f t="shared" si="22"/>
        <v>679.82999999999993</v>
      </c>
      <c r="L265" s="2">
        <f t="shared" si="23"/>
        <v>0.49993749218652328</v>
      </c>
      <c r="M265" t="str">
        <f t="shared" si="24"/>
        <v>Jul-2025</v>
      </c>
    </row>
    <row r="266" spans="1:13" x14ac:dyDescent="0.3">
      <c r="A266" s="1">
        <v>45849</v>
      </c>
      <c r="B266" t="s">
        <v>18</v>
      </c>
      <c r="C266" t="s">
        <v>19</v>
      </c>
      <c r="D266" t="s">
        <v>33</v>
      </c>
      <c r="E266" t="s">
        <v>25</v>
      </c>
      <c r="F266">
        <v>2</v>
      </c>
      <c r="G266">
        <v>119.99</v>
      </c>
      <c r="H266">
        <v>60</v>
      </c>
      <c r="I266">
        <f t="shared" si="20"/>
        <v>239.98</v>
      </c>
      <c r="J266">
        <f t="shared" si="21"/>
        <v>120</v>
      </c>
      <c r="K266">
        <f t="shared" si="22"/>
        <v>119.97999999999999</v>
      </c>
      <c r="L266" s="2">
        <f t="shared" si="23"/>
        <v>0.49995832986082173</v>
      </c>
      <c r="M266" t="str">
        <f t="shared" si="24"/>
        <v>Jul-2025</v>
      </c>
    </row>
    <row r="267" spans="1:13" x14ac:dyDescent="0.3">
      <c r="A267" s="1">
        <v>45851</v>
      </c>
      <c r="B267" t="s">
        <v>12</v>
      </c>
      <c r="C267" t="s">
        <v>9</v>
      </c>
      <c r="D267" t="s">
        <v>26</v>
      </c>
      <c r="E267" t="s">
        <v>25</v>
      </c>
      <c r="F267">
        <v>1</v>
      </c>
      <c r="G267">
        <v>1250</v>
      </c>
      <c r="H267">
        <v>850</v>
      </c>
      <c r="I267">
        <f t="shared" si="20"/>
        <v>1250</v>
      </c>
      <c r="J267">
        <f t="shared" si="21"/>
        <v>850</v>
      </c>
      <c r="K267">
        <f t="shared" si="22"/>
        <v>400</v>
      </c>
      <c r="L267" s="2">
        <f t="shared" si="23"/>
        <v>0.32</v>
      </c>
      <c r="M267" t="str">
        <f t="shared" si="24"/>
        <v>Jul-2025</v>
      </c>
    </row>
    <row r="268" spans="1:13" x14ac:dyDescent="0.3">
      <c r="A268" s="1">
        <v>45852</v>
      </c>
      <c r="B268" t="s">
        <v>22</v>
      </c>
      <c r="C268" t="s">
        <v>23</v>
      </c>
      <c r="D268" t="s">
        <v>38</v>
      </c>
      <c r="E268" t="s">
        <v>11</v>
      </c>
      <c r="F268">
        <v>5</v>
      </c>
      <c r="G268">
        <v>850</v>
      </c>
      <c r="H268">
        <v>520</v>
      </c>
      <c r="I268">
        <f t="shared" si="20"/>
        <v>4250</v>
      </c>
      <c r="J268">
        <f t="shared" si="21"/>
        <v>2600</v>
      </c>
      <c r="K268">
        <f t="shared" si="22"/>
        <v>1650</v>
      </c>
      <c r="L268" s="2">
        <f t="shared" si="23"/>
        <v>0.38823529411764707</v>
      </c>
      <c r="M268" t="str">
        <f t="shared" si="24"/>
        <v>Jul-2025</v>
      </c>
    </row>
    <row r="269" spans="1:13" x14ac:dyDescent="0.3">
      <c r="A269" s="1">
        <v>45853</v>
      </c>
      <c r="B269" t="s">
        <v>22</v>
      </c>
      <c r="C269" t="s">
        <v>23</v>
      </c>
      <c r="D269" t="s">
        <v>30</v>
      </c>
      <c r="E269" t="s">
        <v>21</v>
      </c>
      <c r="F269">
        <v>46</v>
      </c>
      <c r="G269">
        <v>89.99</v>
      </c>
      <c r="H269">
        <v>42</v>
      </c>
      <c r="I269">
        <f t="shared" si="20"/>
        <v>4139.54</v>
      </c>
      <c r="J269">
        <f t="shared" si="21"/>
        <v>1932</v>
      </c>
      <c r="K269">
        <f t="shared" si="22"/>
        <v>2207.54</v>
      </c>
      <c r="L269" s="2">
        <f t="shared" si="23"/>
        <v>0.53328147571952433</v>
      </c>
      <c r="M269" t="str">
        <f t="shared" si="24"/>
        <v>Jul-2025</v>
      </c>
    </row>
    <row r="270" spans="1:13" x14ac:dyDescent="0.3">
      <c r="A270" s="1">
        <v>45855</v>
      </c>
      <c r="B270" t="s">
        <v>22</v>
      </c>
      <c r="C270" t="s">
        <v>23</v>
      </c>
      <c r="D270" t="s">
        <v>30</v>
      </c>
      <c r="E270" t="s">
        <v>21</v>
      </c>
      <c r="F270">
        <v>48</v>
      </c>
      <c r="G270">
        <v>89.99</v>
      </c>
      <c r="H270">
        <v>42</v>
      </c>
      <c r="I270">
        <f t="shared" si="20"/>
        <v>4319.5199999999995</v>
      </c>
      <c r="J270">
        <f t="shared" si="21"/>
        <v>2016</v>
      </c>
      <c r="K270">
        <f t="shared" si="22"/>
        <v>2303.5199999999995</v>
      </c>
      <c r="L270" s="2">
        <f t="shared" si="23"/>
        <v>0.53328147571952433</v>
      </c>
      <c r="M270" t="str">
        <f t="shared" si="24"/>
        <v>Jul-2025</v>
      </c>
    </row>
    <row r="271" spans="1:13" x14ac:dyDescent="0.3">
      <c r="A271" s="1">
        <v>45855</v>
      </c>
      <c r="B271" t="s">
        <v>37</v>
      </c>
      <c r="C271" t="s">
        <v>16</v>
      </c>
      <c r="D271" t="s">
        <v>26</v>
      </c>
      <c r="E271" t="s">
        <v>25</v>
      </c>
      <c r="F271">
        <v>2</v>
      </c>
      <c r="G271">
        <v>1250</v>
      </c>
      <c r="H271">
        <v>850</v>
      </c>
      <c r="I271">
        <f t="shared" si="20"/>
        <v>2500</v>
      </c>
      <c r="J271">
        <f t="shared" si="21"/>
        <v>1700</v>
      </c>
      <c r="K271">
        <f t="shared" si="22"/>
        <v>800</v>
      </c>
      <c r="L271" s="2">
        <f t="shared" si="23"/>
        <v>0.32</v>
      </c>
      <c r="M271" t="str">
        <f t="shared" si="24"/>
        <v>Jul-2025</v>
      </c>
    </row>
    <row r="272" spans="1:13" x14ac:dyDescent="0.3">
      <c r="A272" s="1">
        <v>45855</v>
      </c>
      <c r="B272" t="s">
        <v>18</v>
      </c>
      <c r="C272" t="s">
        <v>19</v>
      </c>
      <c r="D272" t="s">
        <v>10</v>
      </c>
      <c r="E272" t="s">
        <v>11</v>
      </c>
      <c r="F272">
        <v>3</v>
      </c>
      <c r="G272">
        <v>599.99</v>
      </c>
      <c r="H272">
        <v>360</v>
      </c>
      <c r="I272">
        <f t="shared" si="20"/>
        <v>1799.97</v>
      </c>
      <c r="J272">
        <f t="shared" si="21"/>
        <v>1080</v>
      </c>
      <c r="K272">
        <f t="shared" si="22"/>
        <v>719.97</v>
      </c>
      <c r="L272" s="2">
        <f t="shared" si="23"/>
        <v>0.39998999983333056</v>
      </c>
      <c r="M272" t="str">
        <f t="shared" si="24"/>
        <v>Jul-2025</v>
      </c>
    </row>
    <row r="273" spans="1:13" x14ac:dyDescent="0.3">
      <c r="A273" s="1">
        <v>45856</v>
      </c>
      <c r="B273" t="s">
        <v>22</v>
      </c>
      <c r="C273" t="s">
        <v>23</v>
      </c>
      <c r="D273" t="s">
        <v>26</v>
      </c>
      <c r="E273" t="s">
        <v>25</v>
      </c>
      <c r="F273">
        <v>2</v>
      </c>
      <c r="G273">
        <v>1250</v>
      </c>
      <c r="H273">
        <v>850</v>
      </c>
      <c r="I273">
        <f t="shared" si="20"/>
        <v>2500</v>
      </c>
      <c r="J273">
        <f t="shared" si="21"/>
        <v>1700</v>
      </c>
      <c r="K273">
        <f t="shared" si="22"/>
        <v>800</v>
      </c>
      <c r="L273" s="2">
        <f t="shared" si="23"/>
        <v>0.32</v>
      </c>
      <c r="M273" t="str">
        <f t="shared" si="24"/>
        <v>Jul-2025</v>
      </c>
    </row>
    <row r="274" spans="1:13" x14ac:dyDescent="0.3">
      <c r="A274" s="1">
        <v>45858</v>
      </c>
      <c r="B274" t="s">
        <v>18</v>
      </c>
      <c r="C274" t="s">
        <v>19</v>
      </c>
      <c r="D274" t="s">
        <v>26</v>
      </c>
      <c r="E274" t="s">
        <v>25</v>
      </c>
      <c r="F274">
        <v>2</v>
      </c>
      <c r="G274">
        <v>1250</v>
      </c>
      <c r="H274">
        <v>850</v>
      </c>
      <c r="I274">
        <f t="shared" si="20"/>
        <v>2500</v>
      </c>
      <c r="J274">
        <f t="shared" si="21"/>
        <v>1700</v>
      </c>
      <c r="K274">
        <f t="shared" si="22"/>
        <v>800</v>
      </c>
      <c r="L274" s="2">
        <f t="shared" si="23"/>
        <v>0.32</v>
      </c>
      <c r="M274" t="str">
        <f t="shared" si="24"/>
        <v>Jul-2025</v>
      </c>
    </row>
    <row r="275" spans="1:13" x14ac:dyDescent="0.3">
      <c r="A275" s="1">
        <v>45858</v>
      </c>
      <c r="B275" t="s">
        <v>31</v>
      </c>
      <c r="C275" t="s">
        <v>32</v>
      </c>
      <c r="D275" t="s">
        <v>30</v>
      </c>
      <c r="E275" t="s">
        <v>21</v>
      </c>
      <c r="F275">
        <v>34</v>
      </c>
      <c r="G275">
        <v>89.99</v>
      </c>
      <c r="H275">
        <v>42</v>
      </c>
      <c r="I275">
        <f t="shared" si="20"/>
        <v>3059.66</v>
      </c>
      <c r="J275">
        <f t="shared" si="21"/>
        <v>1428</v>
      </c>
      <c r="K275">
        <f t="shared" si="22"/>
        <v>1631.6599999999999</v>
      </c>
      <c r="L275" s="2">
        <f t="shared" si="23"/>
        <v>0.53328147571952433</v>
      </c>
      <c r="M275" t="str">
        <f t="shared" si="24"/>
        <v>Jul-2025</v>
      </c>
    </row>
    <row r="276" spans="1:13" x14ac:dyDescent="0.3">
      <c r="A276" s="1">
        <v>45859</v>
      </c>
      <c r="B276" t="s">
        <v>22</v>
      </c>
      <c r="C276" t="s">
        <v>23</v>
      </c>
      <c r="D276" t="s">
        <v>38</v>
      </c>
      <c r="E276" t="s">
        <v>11</v>
      </c>
      <c r="F276">
        <v>3</v>
      </c>
      <c r="G276">
        <v>850</v>
      </c>
      <c r="H276">
        <v>520</v>
      </c>
      <c r="I276">
        <f t="shared" si="20"/>
        <v>2550</v>
      </c>
      <c r="J276">
        <f t="shared" si="21"/>
        <v>1560</v>
      </c>
      <c r="K276">
        <f t="shared" si="22"/>
        <v>990</v>
      </c>
      <c r="L276" s="2">
        <f t="shared" si="23"/>
        <v>0.38823529411764707</v>
      </c>
      <c r="M276" t="str">
        <f t="shared" si="24"/>
        <v>Jul-2025</v>
      </c>
    </row>
    <row r="277" spans="1:13" x14ac:dyDescent="0.3">
      <c r="A277" s="1">
        <v>45860</v>
      </c>
      <c r="B277" t="s">
        <v>12</v>
      </c>
      <c r="C277" t="s">
        <v>9</v>
      </c>
      <c r="D277" t="s">
        <v>24</v>
      </c>
      <c r="E277" t="s">
        <v>25</v>
      </c>
      <c r="F277">
        <v>17</v>
      </c>
      <c r="G277">
        <v>29.99</v>
      </c>
      <c r="H277">
        <v>12</v>
      </c>
      <c r="I277">
        <f t="shared" si="20"/>
        <v>509.83</v>
      </c>
      <c r="J277">
        <f t="shared" si="21"/>
        <v>204</v>
      </c>
      <c r="K277">
        <f t="shared" si="22"/>
        <v>305.83</v>
      </c>
      <c r="L277" s="2">
        <f t="shared" si="23"/>
        <v>0.5998666222074025</v>
      </c>
      <c r="M277" t="str">
        <f t="shared" si="24"/>
        <v>Jul-2025</v>
      </c>
    </row>
    <row r="278" spans="1:13" x14ac:dyDescent="0.3">
      <c r="A278" s="1">
        <v>45861</v>
      </c>
      <c r="B278" t="s">
        <v>18</v>
      </c>
      <c r="C278" t="s">
        <v>19</v>
      </c>
      <c r="D278" t="s">
        <v>20</v>
      </c>
      <c r="E278" t="s">
        <v>21</v>
      </c>
      <c r="F278">
        <v>17</v>
      </c>
      <c r="G278">
        <v>24.99</v>
      </c>
      <c r="H278">
        <v>10</v>
      </c>
      <c r="I278">
        <f t="shared" si="20"/>
        <v>424.83</v>
      </c>
      <c r="J278">
        <f t="shared" si="21"/>
        <v>170</v>
      </c>
      <c r="K278">
        <f t="shared" si="22"/>
        <v>254.82999999999998</v>
      </c>
      <c r="L278" s="2">
        <f t="shared" si="23"/>
        <v>0.59983993597438978</v>
      </c>
      <c r="M278" t="str">
        <f t="shared" si="24"/>
        <v>Jul-2025</v>
      </c>
    </row>
    <row r="279" spans="1:13" x14ac:dyDescent="0.3">
      <c r="A279" s="1">
        <v>45863</v>
      </c>
      <c r="B279" t="s">
        <v>18</v>
      </c>
      <c r="C279" t="s">
        <v>19</v>
      </c>
      <c r="D279" t="s">
        <v>39</v>
      </c>
      <c r="E279" t="s">
        <v>25</v>
      </c>
      <c r="F279">
        <v>2</v>
      </c>
      <c r="G279">
        <v>149.99</v>
      </c>
      <c r="H279">
        <v>75</v>
      </c>
      <c r="I279">
        <f t="shared" si="20"/>
        <v>299.98</v>
      </c>
      <c r="J279">
        <f t="shared" si="21"/>
        <v>150</v>
      </c>
      <c r="K279">
        <f t="shared" si="22"/>
        <v>149.98000000000002</v>
      </c>
      <c r="L279" s="2">
        <f t="shared" si="23"/>
        <v>0.49996666444429633</v>
      </c>
      <c r="M279" t="str">
        <f t="shared" si="24"/>
        <v>Jul-2025</v>
      </c>
    </row>
    <row r="280" spans="1:13" x14ac:dyDescent="0.3">
      <c r="A280" s="1">
        <v>45864</v>
      </c>
      <c r="B280" t="s">
        <v>12</v>
      </c>
      <c r="C280" t="s">
        <v>9</v>
      </c>
      <c r="D280" t="s">
        <v>34</v>
      </c>
      <c r="E280" t="s">
        <v>11</v>
      </c>
      <c r="F280">
        <v>3</v>
      </c>
      <c r="G280">
        <v>299.99</v>
      </c>
      <c r="H280">
        <v>160</v>
      </c>
      <c r="I280">
        <f t="shared" si="20"/>
        <v>899.97</v>
      </c>
      <c r="J280">
        <f t="shared" si="21"/>
        <v>480</v>
      </c>
      <c r="K280">
        <f t="shared" si="22"/>
        <v>419.97</v>
      </c>
      <c r="L280" s="2">
        <f t="shared" si="23"/>
        <v>0.46664888829627654</v>
      </c>
      <c r="M280" t="str">
        <f t="shared" si="24"/>
        <v>Jul-2025</v>
      </c>
    </row>
    <row r="281" spans="1:13" x14ac:dyDescent="0.3">
      <c r="A281" s="1">
        <v>45865</v>
      </c>
      <c r="B281" t="s">
        <v>22</v>
      </c>
      <c r="C281" t="s">
        <v>23</v>
      </c>
      <c r="D281" t="s">
        <v>34</v>
      </c>
      <c r="E281" t="s">
        <v>11</v>
      </c>
      <c r="F281">
        <v>11</v>
      </c>
      <c r="G281">
        <v>299.99</v>
      </c>
      <c r="H281">
        <v>160</v>
      </c>
      <c r="I281">
        <f t="shared" si="20"/>
        <v>3299.8900000000003</v>
      </c>
      <c r="J281">
        <f t="shared" si="21"/>
        <v>1760</v>
      </c>
      <c r="K281">
        <f t="shared" si="22"/>
        <v>1539.8900000000003</v>
      </c>
      <c r="L281" s="2">
        <f t="shared" si="23"/>
        <v>0.4666488882962766</v>
      </c>
      <c r="M281" t="str">
        <f t="shared" si="24"/>
        <v>Jul-2025</v>
      </c>
    </row>
    <row r="282" spans="1:13" x14ac:dyDescent="0.3">
      <c r="A282" s="1">
        <v>45865</v>
      </c>
      <c r="B282" t="s">
        <v>12</v>
      </c>
      <c r="C282" t="s">
        <v>9</v>
      </c>
      <c r="D282" t="s">
        <v>36</v>
      </c>
      <c r="E282" t="s">
        <v>25</v>
      </c>
      <c r="F282">
        <v>43</v>
      </c>
      <c r="G282">
        <v>89.99</v>
      </c>
      <c r="H282">
        <v>45</v>
      </c>
      <c r="I282">
        <f t="shared" si="20"/>
        <v>3869.5699999999997</v>
      </c>
      <c r="J282">
        <f t="shared" si="21"/>
        <v>1935</v>
      </c>
      <c r="K282">
        <f t="shared" si="22"/>
        <v>1934.5699999999997</v>
      </c>
      <c r="L282" s="2">
        <f t="shared" si="23"/>
        <v>0.49994443827091894</v>
      </c>
      <c r="M282" t="str">
        <f t="shared" si="24"/>
        <v>Jul-2025</v>
      </c>
    </row>
    <row r="283" spans="1:13" x14ac:dyDescent="0.3">
      <c r="A283" s="1">
        <v>45865</v>
      </c>
      <c r="B283" t="s">
        <v>18</v>
      </c>
      <c r="C283" t="s">
        <v>19</v>
      </c>
      <c r="D283" t="s">
        <v>38</v>
      </c>
      <c r="E283" t="s">
        <v>11</v>
      </c>
      <c r="F283">
        <v>4</v>
      </c>
      <c r="G283">
        <v>850</v>
      </c>
      <c r="H283">
        <v>520</v>
      </c>
      <c r="I283">
        <f t="shared" si="20"/>
        <v>3400</v>
      </c>
      <c r="J283">
        <f t="shared" si="21"/>
        <v>2080</v>
      </c>
      <c r="K283">
        <f t="shared" si="22"/>
        <v>1320</v>
      </c>
      <c r="L283" s="2">
        <f t="shared" si="23"/>
        <v>0.38823529411764707</v>
      </c>
      <c r="M283" t="str">
        <f t="shared" si="24"/>
        <v>Jul-2025</v>
      </c>
    </row>
    <row r="284" spans="1:13" x14ac:dyDescent="0.3">
      <c r="A284" s="1">
        <v>45870</v>
      </c>
      <c r="B284" t="s">
        <v>12</v>
      </c>
      <c r="C284" t="s">
        <v>9</v>
      </c>
      <c r="D284" t="s">
        <v>36</v>
      </c>
      <c r="E284" t="s">
        <v>25</v>
      </c>
      <c r="F284">
        <v>33</v>
      </c>
      <c r="G284">
        <v>89.99</v>
      </c>
      <c r="H284">
        <v>45</v>
      </c>
      <c r="I284">
        <f t="shared" si="20"/>
        <v>2969.6699999999996</v>
      </c>
      <c r="J284">
        <f t="shared" si="21"/>
        <v>1485</v>
      </c>
      <c r="K284">
        <f t="shared" si="22"/>
        <v>1484.6699999999996</v>
      </c>
      <c r="L284" s="2">
        <f t="shared" si="23"/>
        <v>0.49994443827091894</v>
      </c>
      <c r="M284" t="str">
        <f t="shared" si="24"/>
        <v>Aug-2025</v>
      </c>
    </row>
    <row r="285" spans="1:13" x14ac:dyDescent="0.3">
      <c r="A285" s="1">
        <v>45871</v>
      </c>
      <c r="B285" t="s">
        <v>18</v>
      </c>
      <c r="C285" t="s">
        <v>19</v>
      </c>
      <c r="D285" t="s">
        <v>33</v>
      </c>
      <c r="E285" t="s">
        <v>25</v>
      </c>
      <c r="F285">
        <v>14</v>
      </c>
      <c r="G285">
        <v>119.99</v>
      </c>
      <c r="H285">
        <v>60</v>
      </c>
      <c r="I285">
        <f t="shared" si="20"/>
        <v>1679.86</v>
      </c>
      <c r="J285">
        <f t="shared" si="21"/>
        <v>840</v>
      </c>
      <c r="K285">
        <f t="shared" si="22"/>
        <v>839.8599999999999</v>
      </c>
      <c r="L285" s="2">
        <f t="shared" si="23"/>
        <v>0.49995832986082173</v>
      </c>
      <c r="M285" t="str">
        <f t="shared" si="24"/>
        <v>Aug-2025</v>
      </c>
    </row>
    <row r="286" spans="1:13" x14ac:dyDescent="0.3">
      <c r="A286" s="1">
        <v>45872</v>
      </c>
      <c r="B286" t="s">
        <v>18</v>
      </c>
      <c r="C286" t="s">
        <v>19</v>
      </c>
      <c r="D286" t="s">
        <v>33</v>
      </c>
      <c r="E286" t="s">
        <v>25</v>
      </c>
      <c r="F286">
        <v>1</v>
      </c>
      <c r="G286">
        <v>119.99</v>
      </c>
      <c r="H286">
        <v>60</v>
      </c>
      <c r="I286">
        <f t="shared" si="20"/>
        <v>119.99</v>
      </c>
      <c r="J286">
        <f t="shared" si="21"/>
        <v>60</v>
      </c>
      <c r="K286">
        <f t="shared" si="22"/>
        <v>59.989999999999995</v>
      </c>
      <c r="L286" s="2">
        <f t="shared" si="23"/>
        <v>0.49995832986082173</v>
      </c>
      <c r="M286" t="str">
        <f t="shared" si="24"/>
        <v>Aug-2025</v>
      </c>
    </row>
    <row r="287" spans="1:13" x14ac:dyDescent="0.3">
      <c r="A287" s="1">
        <v>45872</v>
      </c>
      <c r="B287" t="s">
        <v>31</v>
      </c>
      <c r="C287" t="s">
        <v>32</v>
      </c>
      <c r="D287" t="s">
        <v>36</v>
      </c>
      <c r="E287" t="s">
        <v>25</v>
      </c>
      <c r="F287">
        <v>33</v>
      </c>
      <c r="G287">
        <v>89.99</v>
      </c>
      <c r="H287">
        <v>45</v>
      </c>
      <c r="I287">
        <f t="shared" si="20"/>
        <v>2969.6699999999996</v>
      </c>
      <c r="J287">
        <f t="shared" si="21"/>
        <v>1485</v>
      </c>
      <c r="K287">
        <f t="shared" si="22"/>
        <v>1484.6699999999996</v>
      </c>
      <c r="L287" s="2">
        <f t="shared" si="23"/>
        <v>0.49994443827091894</v>
      </c>
      <c r="M287" t="str">
        <f t="shared" si="24"/>
        <v>Aug-2025</v>
      </c>
    </row>
    <row r="288" spans="1:13" x14ac:dyDescent="0.3">
      <c r="A288" s="1">
        <v>45872</v>
      </c>
      <c r="B288" t="s">
        <v>15</v>
      </c>
      <c r="C288" t="s">
        <v>16</v>
      </c>
      <c r="D288" t="s">
        <v>38</v>
      </c>
      <c r="E288" t="s">
        <v>11</v>
      </c>
      <c r="F288">
        <v>5</v>
      </c>
      <c r="G288">
        <v>850</v>
      </c>
      <c r="H288">
        <v>520</v>
      </c>
      <c r="I288">
        <f t="shared" si="20"/>
        <v>4250</v>
      </c>
      <c r="J288">
        <f t="shared" si="21"/>
        <v>2600</v>
      </c>
      <c r="K288">
        <f t="shared" si="22"/>
        <v>1650</v>
      </c>
      <c r="L288" s="2">
        <f t="shared" si="23"/>
        <v>0.38823529411764707</v>
      </c>
      <c r="M288" t="str">
        <f t="shared" si="24"/>
        <v>Aug-2025</v>
      </c>
    </row>
    <row r="289" spans="1:13" x14ac:dyDescent="0.3">
      <c r="A289" s="1">
        <v>45873</v>
      </c>
      <c r="B289" t="s">
        <v>18</v>
      </c>
      <c r="C289" t="s">
        <v>19</v>
      </c>
      <c r="D289" t="s">
        <v>36</v>
      </c>
      <c r="E289" t="s">
        <v>25</v>
      </c>
      <c r="F289">
        <v>48</v>
      </c>
      <c r="G289">
        <v>89.99</v>
      </c>
      <c r="H289">
        <v>45</v>
      </c>
      <c r="I289">
        <f t="shared" si="20"/>
        <v>4319.5199999999995</v>
      </c>
      <c r="J289">
        <f t="shared" si="21"/>
        <v>2160</v>
      </c>
      <c r="K289">
        <f t="shared" si="22"/>
        <v>2159.5199999999995</v>
      </c>
      <c r="L289" s="2">
        <f t="shared" si="23"/>
        <v>0.49994443827091894</v>
      </c>
      <c r="M289" t="str">
        <f t="shared" si="24"/>
        <v>Aug-2025</v>
      </c>
    </row>
    <row r="290" spans="1:13" x14ac:dyDescent="0.3">
      <c r="A290" s="1">
        <v>45874</v>
      </c>
      <c r="B290" t="s">
        <v>22</v>
      </c>
      <c r="C290" t="s">
        <v>23</v>
      </c>
      <c r="D290" t="s">
        <v>34</v>
      </c>
      <c r="E290" t="s">
        <v>11</v>
      </c>
      <c r="F290">
        <v>9</v>
      </c>
      <c r="G290">
        <v>299.99</v>
      </c>
      <c r="H290">
        <v>160</v>
      </c>
      <c r="I290">
        <f t="shared" si="20"/>
        <v>2699.91</v>
      </c>
      <c r="J290">
        <f t="shared" si="21"/>
        <v>1440</v>
      </c>
      <c r="K290">
        <f t="shared" si="22"/>
        <v>1259.9099999999999</v>
      </c>
      <c r="L290" s="2">
        <f t="shared" si="23"/>
        <v>0.46664888829627649</v>
      </c>
      <c r="M290" t="str">
        <f t="shared" si="24"/>
        <v>Aug-2025</v>
      </c>
    </row>
    <row r="291" spans="1:13" x14ac:dyDescent="0.3">
      <c r="A291" s="1">
        <v>45875</v>
      </c>
      <c r="B291" t="s">
        <v>27</v>
      </c>
      <c r="C291" t="s">
        <v>23</v>
      </c>
      <c r="D291" t="s">
        <v>17</v>
      </c>
      <c r="E291" t="s">
        <v>11</v>
      </c>
      <c r="F291">
        <v>8</v>
      </c>
      <c r="G291">
        <v>179.99</v>
      </c>
      <c r="H291">
        <v>95</v>
      </c>
      <c r="I291">
        <f t="shared" si="20"/>
        <v>1439.92</v>
      </c>
      <c r="J291">
        <f t="shared" si="21"/>
        <v>760</v>
      </c>
      <c r="K291">
        <f t="shared" si="22"/>
        <v>679.92000000000007</v>
      </c>
      <c r="L291" s="2">
        <f t="shared" si="23"/>
        <v>0.47219289960553368</v>
      </c>
      <c r="M291" t="str">
        <f t="shared" si="24"/>
        <v>Aug-2025</v>
      </c>
    </row>
    <row r="292" spans="1:13" x14ac:dyDescent="0.3">
      <c r="A292" s="1">
        <v>45875</v>
      </c>
      <c r="B292" t="s">
        <v>37</v>
      </c>
      <c r="C292" t="s">
        <v>16</v>
      </c>
      <c r="D292" t="s">
        <v>35</v>
      </c>
      <c r="E292" t="s">
        <v>25</v>
      </c>
      <c r="F292">
        <v>12</v>
      </c>
      <c r="G292">
        <v>349.99</v>
      </c>
      <c r="H292">
        <v>210</v>
      </c>
      <c r="I292">
        <f t="shared" si="20"/>
        <v>4199.88</v>
      </c>
      <c r="J292">
        <f t="shared" si="21"/>
        <v>2520</v>
      </c>
      <c r="K292">
        <f t="shared" si="22"/>
        <v>1679.88</v>
      </c>
      <c r="L292" s="2">
        <f t="shared" si="23"/>
        <v>0.39998285665304723</v>
      </c>
      <c r="M292" t="str">
        <f t="shared" si="24"/>
        <v>Aug-2025</v>
      </c>
    </row>
    <row r="293" spans="1:13" x14ac:dyDescent="0.3">
      <c r="A293" s="1">
        <v>45875</v>
      </c>
      <c r="B293" t="s">
        <v>8</v>
      </c>
      <c r="C293" t="s">
        <v>9</v>
      </c>
      <c r="D293" t="s">
        <v>30</v>
      </c>
      <c r="E293" t="s">
        <v>21</v>
      </c>
      <c r="F293">
        <v>14</v>
      </c>
      <c r="G293">
        <v>89.99</v>
      </c>
      <c r="H293">
        <v>42</v>
      </c>
      <c r="I293">
        <f t="shared" si="20"/>
        <v>1259.8599999999999</v>
      </c>
      <c r="J293">
        <f t="shared" si="21"/>
        <v>588</v>
      </c>
      <c r="K293">
        <f t="shared" si="22"/>
        <v>671.8599999999999</v>
      </c>
      <c r="L293" s="2">
        <f t="shared" si="23"/>
        <v>0.53328147571952433</v>
      </c>
      <c r="M293" t="str">
        <f t="shared" si="24"/>
        <v>Aug-2025</v>
      </c>
    </row>
    <row r="294" spans="1:13" x14ac:dyDescent="0.3">
      <c r="A294" s="1">
        <v>45875</v>
      </c>
      <c r="B294" t="s">
        <v>15</v>
      </c>
      <c r="C294" t="s">
        <v>16</v>
      </c>
      <c r="D294" t="s">
        <v>30</v>
      </c>
      <c r="E294" t="s">
        <v>21</v>
      </c>
      <c r="F294">
        <v>34</v>
      </c>
      <c r="G294">
        <v>89.99</v>
      </c>
      <c r="H294">
        <v>42</v>
      </c>
      <c r="I294">
        <f t="shared" si="20"/>
        <v>3059.66</v>
      </c>
      <c r="J294">
        <f t="shared" si="21"/>
        <v>1428</v>
      </c>
      <c r="K294">
        <f t="shared" si="22"/>
        <v>1631.6599999999999</v>
      </c>
      <c r="L294" s="2">
        <f t="shared" si="23"/>
        <v>0.53328147571952433</v>
      </c>
      <c r="M294" t="str">
        <f t="shared" si="24"/>
        <v>Aug-2025</v>
      </c>
    </row>
    <row r="295" spans="1:13" x14ac:dyDescent="0.3">
      <c r="A295" s="1">
        <v>45877</v>
      </c>
      <c r="B295" t="s">
        <v>15</v>
      </c>
      <c r="C295" t="s">
        <v>16</v>
      </c>
      <c r="D295" t="s">
        <v>28</v>
      </c>
      <c r="E295" t="s">
        <v>21</v>
      </c>
      <c r="F295">
        <v>29</v>
      </c>
      <c r="G295">
        <v>79.989999999999995</v>
      </c>
      <c r="H295">
        <v>40</v>
      </c>
      <c r="I295">
        <f t="shared" si="20"/>
        <v>2319.71</v>
      </c>
      <c r="J295">
        <f t="shared" si="21"/>
        <v>1160</v>
      </c>
      <c r="K295">
        <f t="shared" si="22"/>
        <v>1159.71</v>
      </c>
      <c r="L295" s="2">
        <f t="shared" si="23"/>
        <v>0.49993749218652334</v>
      </c>
      <c r="M295" t="str">
        <f t="shared" si="24"/>
        <v>Aug-2025</v>
      </c>
    </row>
    <row r="296" spans="1:13" x14ac:dyDescent="0.3">
      <c r="A296" s="1">
        <v>45877</v>
      </c>
      <c r="B296" t="s">
        <v>15</v>
      </c>
      <c r="C296" t="s">
        <v>16</v>
      </c>
      <c r="D296" t="s">
        <v>26</v>
      </c>
      <c r="E296" t="s">
        <v>25</v>
      </c>
      <c r="F296">
        <v>4</v>
      </c>
      <c r="G296">
        <v>1250</v>
      </c>
      <c r="H296">
        <v>850</v>
      </c>
      <c r="I296">
        <f t="shared" si="20"/>
        <v>5000</v>
      </c>
      <c r="J296">
        <f t="shared" si="21"/>
        <v>3400</v>
      </c>
      <c r="K296">
        <f t="shared" si="22"/>
        <v>1600</v>
      </c>
      <c r="L296" s="2">
        <f t="shared" si="23"/>
        <v>0.32</v>
      </c>
      <c r="M296" t="str">
        <f t="shared" si="24"/>
        <v>Aug-2025</v>
      </c>
    </row>
    <row r="297" spans="1:13" x14ac:dyDescent="0.3">
      <c r="A297" s="1">
        <v>45877</v>
      </c>
      <c r="B297" t="s">
        <v>31</v>
      </c>
      <c r="C297" t="s">
        <v>32</v>
      </c>
      <c r="D297" t="s">
        <v>35</v>
      </c>
      <c r="E297" t="s">
        <v>25</v>
      </c>
      <c r="F297">
        <v>5</v>
      </c>
      <c r="G297">
        <v>349.99</v>
      </c>
      <c r="H297">
        <v>210</v>
      </c>
      <c r="I297">
        <f t="shared" si="20"/>
        <v>1749.95</v>
      </c>
      <c r="J297">
        <f t="shared" si="21"/>
        <v>1050</v>
      </c>
      <c r="K297">
        <f t="shared" si="22"/>
        <v>699.95</v>
      </c>
      <c r="L297" s="2">
        <f t="shared" si="23"/>
        <v>0.39998285665304723</v>
      </c>
      <c r="M297" t="str">
        <f t="shared" si="24"/>
        <v>Aug-2025</v>
      </c>
    </row>
    <row r="298" spans="1:13" x14ac:dyDescent="0.3">
      <c r="A298" s="1">
        <v>45879</v>
      </c>
      <c r="B298" t="s">
        <v>18</v>
      </c>
      <c r="C298" t="s">
        <v>19</v>
      </c>
      <c r="D298" t="s">
        <v>20</v>
      </c>
      <c r="E298" t="s">
        <v>21</v>
      </c>
      <c r="F298">
        <v>5</v>
      </c>
      <c r="G298">
        <v>24.99</v>
      </c>
      <c r="H298">
        <v>10</v>
      </c>
      <c r="I298">
        <f t="shared" si="20"/>
        <v>124.94999999999999</v>
      </c>
      <c r="J298">
        <f t="shared" si="21"/>
        <v>50</v>
      </c>
      <c r="K298">
        <f t="shared" si="22"/>
        <v>74.949999999999989</v>
      </c>
      <c r="L298" s="2">
        <f t="shared" si="23"/>
        <v>0.59983993597438967</v>
      </c>
      <c r="M298" t="str">
        <f t="shared" si="24"/>
        <v>Aug-2025</v>
      </c>
    </row>
    <row r="299" spans="1:13" x14ac:dyDescent="0.3">
      <c r="A299" s="1">
        <v>45879</v>
      </c>
      <c r="B299" t="s">
        <v>31</v>
      </c>
      <c r="C299" t="s">
        <v>32</v>
      </c>
      <c r="D299" t="s">
        <v>38</v>
      </c>
      <c r="E299" t="s">
        <v>11</v>
      </c>
      <c r="F299">
        <v>1</v>
      </c>
      <c r="G299">
        <v>850</v>
      </c>
      <c r="H299">
        <v>520</v>
      </c>
      <c r="I299">
        <f t="shared" si="20"/>
        <v>850</v>
      </c>
      <c r="J299">
        <f t="shared" si="21"/>
        <v>520</v>
      </c>
      <c r="K299">
        <f t="shared" si="22"/>
        <v>330</v>
      </c>
      <c r="L299" s="2">
        <f t="shared" si="23"/>
        <v>0.38823529411764707</v>
      </c>
      <c r="M299" t="str">
        <f t="shared" si="24"/>
        <v>Aug-2025</v>
      </c>
    </row>
    <row r="300" spans="1:13" x14ac:dyDescent="0.3">
      <c r="A300" s="1">
        <v>45880</v>
      </c>
      <c r="B300" t="s">
        <v>18</v>
      </c>
      <c r="C300" t="s">
        <v>19</v>
      </c>
      <c r="D300" t="s">
        <v>29</v>
      </c>
      <c r="E300" t="s">
        <v>14</v>
      </c>
      <c r="F300">
        <v>7</v>
      </c>
      <c r="G300">
        <v>49.99</v>
      </c>
      <c r="H300">
        <v>22</v>
      </c>
      <c r="I300">
        <f t="shared" si="20"/>
        <v>349.93</v>
      </c>
      <c r="J300">
        <f t="shared" si="21"/>
        <v>154</v>
      </c>
      <c r="K300">
        <f t="shared" si="22"/>
        <v>195.93</v>
      </c>
      <c r="L300" s="2">
        <f t="shared" si="23"/>
        <v>0.55991198239647932</v>
      </c>
      <c r="M300" t="str">
        <f t="shared" si="24"/>
        <v>Aug-2025</v>
      </c>
    </row>
    <row r="301" spans="1:13" x14ac:dyDescent="0.3">
      <c r="A301" s="1">
        <v>45880</v>
      </c>
      <c r="B301" t="s">
        <v>22</v>
      </c>
      <c r="C301" t="s">
        <v>23</v>
      </c>
      <c r="D301" t="s">
        <v>35</v>
      </c>
      <c r="E301" t="s">
        <v>25</v>
      </c>
      <c r="F301">
        <v>13</v>
      </c>
      <c r="G301">
        <v>349.99</v>
      </c>
      <c r="H301">
        <v>210</v>
      </c>
      <c r="I301">
        <f t="shared" si="20"/>
        <v>4549.87</v>
      </c>
      <c r="J301">
        <f t="shared" si="21"/>
        <v>2730</v>
      </c>
      <c r="K301">
        <f t="shared" si="22"/>
        <v>1819.87</v>
      </c>
      <c r="L301" s="2">
        <f t="shared" si="23"/>
        <v>0.39998285665304723</v>
      </c>
      <c r="M301" t="str">
        <f t="shared" si="24"/>
        <v>Aug-2025</v>
      </c>
    </row>
    <row r="302" spans="1:13" x14ac:dyDescent="0.3">
      <c r="A302" s="1">
        <v>45881</v>
      </c>
      <c r="B302" t="s">
        <v>31</v>
      </c>
      <c r="C302" t="s">
        <v>32</v>
      </c>
      <c r="D302" t="s">
        <v>28</v>
      </c>
      <c r="E302" t="s">
        <v>21</v>
      </c>
      <c r="F302">
        <v>18</v>
      </c>
      <c r="G302">
        <v>79.989999999999995</v>
      </c>
      <c r="H302">
        <v>40</v>
      </c>
      <c r="I302">
        <f t="shared" si="20"/>
        <v>1439.82</v>
      </c>
      <c r="J302">
        <f t="shared" si="21"/>
        <v>720</v>
      </c>
      <c r="K302">
        <f t="shared" si="22"/>
        <v>719.81999999999994</v>
      </c>
      <c r="L302" s="2">
        <f t="shared" si="23"/>
        <v>0.49993749218652328</v>
      </c>
      <c r="M302" t="str">
        <f t="shared" si="24"/>
        <v>Aug-2025</v>
      </c>
    </row>
    <row r="303" spans="1:13" x14ac:dyDescent="0.3">
      <c r="A303" s="1">
        <v>45882</v>
      </c>
      <c r="B303" t="s">
        <v>31</v>
      </c>
      <c r="C303" t="s">
        <v>32</v>
      </c>
      <c r="D303" t="s">
        <v>33</v>
      </c>
      <c r="E303" t="s">
        <v>25</v>
      </c>
      <c r="F303">
        <v>8</v>
      </c>
      <c r="G303">
        <v>119.99</v>
      </c>
      <c r="H303">
        <v>60</v>
      </c>
      <c r="I303">
        <f t="shared" si="20"/>
        <v>959.92</v>
      </c>
      <c r="J303">
        <f t="shared" si="21"/>
        <v>480</v>
      </c>
      <c r="K303">
        <f t="shared" si="22"/>
        <v>479.91999999999996</v>
      </c>
      <c r="L303" s="2">
        <f t="shared" si="23"/>
        <v>0.49995832986082173</v>
      </c>
      <c r="M303" t="str">
        <f t="shared" si="24"/>
        <v>Aug-2025</v>
      </c>
    </row>
    <row r="304" spans="1:13" x14ac:dyDescent="0.3">
      <c r="A304" s="1">
        <v>45882</v>
      </c>
      <c r="B304" t="s">
        <v>37</v>
      </c>
      <c r="C304" t="s">
        <v>16</v>
      </c>
      <c r="D304" t="s">
        <v>10</v>
      </c>
      <c r="E304" t="s">
        <v>11</v>
      </c>
      <c r="F304">
        <v>2</v>
      </c>
      <c r="G304">
        <v>599.99</v>
      </c>
      <c r="H304">
        <v>360</v>
      </c>
      <c r="I304">
        <f t="shared" si="20"/>
        <v>1199.98</v>
      </c>
      <c r="J304">
        <f t="shared" si="21"/>
        <v>720</v>
      </c>
      <c r="K304">
        <f t="shared" si="22"/>
        <v>479.98</v>
      </c>
      <c r="L304" s="2">
        <f t="shared" si="23"/>
        <v>0.39998999983333056</v>
      </c>
      <c r="M304" t="str">
        <f t="shared" si="24"/>
        <v>Aug-2025</v>
      </c>
    </row>
    <row r="305" spans="1:13" x14ac:dyDescent="0.3">
      <c r="A305" s="1">
        <v>45882</v>
      </c>
      <c r="B305" t="s">
        <v>27</v>
      </c>
      <c r="C305" t="s">
        <v>23</v>
      </c>
      <c r="D305" t="s">
        <v>26</v>
      </c>
      <c r="E305" t="s">
        <v>25</v>
      </c>
      <c r="F305">
        <v>4</v>
      </c>
      <c r="G305">
        <v>1250</v>
      </c>
      <c r="H305">
        <v>850</v>
      </c>
      <c r="I305">
        <f t="shared" si="20"/>
        <v>5000</v>
      </c>
      <c r="J305">
        <f t="shared" si="21"/>
        <v>3400</v>
      </c>
      <c r="K305">
        <f t="shared" si="22"/>
        <v>1600</v>
      </c>
      <c r="L305" s="2">
        <f t="shared" si="23"/>
        <v>0.32</v>
      </c>
      <c r="M305" t="str">
        <f t="shared" si="24"/>
        <v>Aug-2025</v>
      </c>
    </row>
    <row r="306" spans="1:13" x14ac:dyDescent="0.3">
      <c r="A306" s="1">
        <v>45883</v>
      </c>
      <c r="B306" t="s">
        <v>31</v>
      </c>
      <c r="C306" t="s">
        <v>32</v>
      </c>
      <c r="D306" t="s">
        <v>28</v>
      </c>
      <c r="E306" t="s">
        <v>21</v>
      </c>
      <c r="F306">
        <v>22</v>
      </c>
      <c r="G306">
        <v>79.989999999999995</v>
      </c>
      <c r="H306">
        <v>40</v>
      </c>
      <c r="I306">
        <f t="shared" si="20"/>
        <v>1759.78</v>
      </c>
      <c r="J306">
        <f t="shared" si="21"/>
        <v>880</v>
      </c>
      <c r="K306">
        <f t="shared" si="22"/>
        <v>879.78</v>
      </c>
      <c r="L306" s="2">
        <f t="shared" si="23"/>
        <v>0.49993749218652328</v>
      </c>
      <c r="M306" t="str">
        <f t="shared" si="24"/>
        <v>Aug-2025</v>
      </c>
    </row>
    <row r="307" spans="1:13" x14ac:dyDescent="0.3">
      <c r="A307" s="1">
        <v>45884</v>
      </c>
      <c r="B307" t="s">
        <v>37</v>
      </c>
      <c r="C307" t="s">
        <v>16</v>
      </c>
      <c r="D307" t="s">
        <v>39</v>
      </c>
      <c r="E307" t="s">
        <v>25</v>
      </c>
      <c r="F307">
        <v>14</v>
      </c>
      <c r="G307">
        <v>149.99</v>
      </c>
      <c r="H307">
        <v>75</v>
      </c>
      <c r="I307">
        <f t="shared" si="20"/>
        <v>2099.86</v>
      </c>
      <c r="J307">
        <f t="shared" si="21"/>
        <v>1050</v>
      </c>
      <c r="K307">
        <f t="shared" si="22"/>
        <v>1049.8600000000001</v>
      </c>
      <c r="L307" s="2">
        <f t="shared" si="23"/>
        <v>0.49996666444429633</v>
      </c>
      <c r="M307" t="str">
        <f t="shared" si="24"/>
        <v>Aug-2025</v>
      </c>
    </row>
    <row r="308" spans="1:13" x14ac:dyDescent="0.3">
      <c r="A308" s="1">
        <v>45884</v>
      </c>
      <c r="B308" t="s">
        <v>12</v>
      </c>
      <c r="C308" t="s">
        <v>9</v>
      </c>
      <c r="D308" t="s">
        <v>29</v>
      </c>
      <c r="E308" t="s">
        <v>14</v>
      </c>
      <c r="F308">
        <v>41</v>
      </c>
      <c r="G308">
        <v>49.99</v>
      </c>
      <c r="H308">
        <v>22</v>
      </c>
      <c r="I308">
        <f t="shared" si="20"/>
        <v>2049.59</v>
      </c>
      <c r="J308">
        <f t="shared" si="21"/>
        <v>902</v>
      </c>
      <c r="K308">
        <f t="shared" si="22"/>
        <v>1147.5900000000001</v>
      </c>
      <c r="L308" s="2">
        <f t="shared" si="23"/>
        <v>0.55991198239647932</v>
      </c>
      <c r="M308" t="str">
        <f t="shared" si="24"/>
        <v>Aug-2025</v>
      </c>
    </row>
    <row r="309" spans="1:13" x14ac:dyDescent="0.3">
      <c r="A309" s="1">
        <v>45886</v>
      </c>
      <c r="B309" t="s">
        <v>27</v>
      </c>
      <c r="C309" t="s">
        <v>23</v>
      </c>
      <c r="D309" t="s">
        <v>38</v>
      </c>
      <c r="E309" t="s">
        <v>11</v>
      </c>
      <c r="F309">
        <v>1</v>
      </c>
      <c r="G309">
        <v>850</v>
      </c>
      <c r="H309">
        <v>520</v>
      </c>
      <c r="I309">
        <f t="shared" si="20"/>
        <v>850</v>
      </c>
      <c r="J309">
        <f t="shared" si="21"/>
        <v>520</v>
      </c>
      <c r="K309">
        <f t="shared" si="22"/>
        <v>330</v>
      </c>
      <c r="L309" s="2">
        <f t="shared" si="23"/>
        <v>0.38823529411764707</v>
      </c>
      <c r="M309" t="str">
        <f t="shared" si="24"/>
        <v>Aug-2025</v>
      </c>
    </row>
    <row r="310" spans="1:13" x14ac:dyDescent="0.3">
      <c r="A310" s="1">
        <v>45887</v>
      </c>
      <c r="B310" t="s">
        <v>22</v>
      </c>
      <c r="C310" t="s">
        <v>23</v>
      </c>
      <c r="D310" t="s">
        <v>26</v>
      </c>
      <c r="E310" t="s">
        <v>25</v>
      </c>
      <c r="F310">
        <v>1</v>
      </c>
      <c r="G310">
        <v>1250</v>
      </c>
      <c r="H310">
        <v>850</v>
      </c>
      <c r="I310">
        <f t="shared" si="20"/>
        <v>1250</v>
      </c>
      <c r="J310">
        <f t="shared" si="21"/>
        <v>850</v>
      </c>
      <c r="K310">
        <f t="shared" si="22"/>
        <v>400</v>
      </c>
      <c r="L310" s="2">
        <f t="shared" si="23"/>
        <v>0.32</v>
      </c>
      <c r="M310" t="str">
        <f t="shared" si="24"/>
        <v>Aug-2025</v>
      </c>
    </row>
    <row r="311" spans="1:13" x14ac:dyDescent="0.3">
      <c r="A311" s="1">
        <v>45888</v>
      </c>
      <c r="B311" t="s">
        <v>31</v>
      </c>
      <c r="C311" t="s">
        <v>32</v>
      </c>
      <c r="D311" t="s">
        <v>20</v>
      </c>
      <c r="E311" t="s">
        <v>21</v>
      </c>
      <c r="F311">
        <v>19</v>
      </c>
      <c r="G311">
        <v>24.99</v>
      </c>
      <c r="H311">
        <v>10</v>
      </c>
      <c r="I311">
        <f t="shared" si="20"/>
        <v>474.80999999999995</v>
      </c>
      <c r="J311">
        <f t="shared" si="21"/>
        <v>190</v>
      </c>
      <c r="K311">
        <f t="shared" si="22"/>
        <v>284.80999999999995</v>
      </c>
      <c r="L311" s="2">
        <f t="shared" si="23"/>
        <v>0.59983993597438967</v>
      </c>
      <c r="M311" t="str">
        <f t="shared" si="24"/>
        <v>Aug-2025</v>
      </c>
    </row>
    <row r="312" spans="1:13" x14ac:dyDescent="0.3">
      <c r="A312" s="1">
        <v>45888</v>
      </c>
      <c r="B312" t="s">
        <v>8</v>
      </c>
      <c r="C312" t="s">
        <v>9</v>
      </c>
      <c r="D312" t="s">
        <v>35</v>
      </c>
      <c r="E312" t="s">
        <v>25</v>
      </c>
      <c r="F312">
        <v>9</v>
      </c>
      <c r="G312">
        <v>349.99</v>
      </c>
      <c r="H312">
        <v>210</v>
      </c>
      <c r="I312">
        <f t="shared" si="20"/>
        <v>3149.91</v>
      </c>
      <c r="J312">
        <f t="shared" si="21"/>
        <v>1890</v>
      </c>
      <c r="K312">
        <f t="shared" si="22"/>
        <v>1259.9099999999999</v>
      </c>
      <c r="L312" s="2">
        <f t="shared" si="23"/>
        <v>0.39998285665304723</v>
      </c>
      <c r="M312" t="str">
        <f t="shared" si="24"/>
        <v>Aug-2025</v>
      </c>
    </row>
    <row r="313" spans="1:13" x14ac:dyDescent="0.3">
      <c r="A313" s="1">
        <v>45888</v>
      </c>
      <c r="B313" t="s">
        <v>15</v>
      </c>
      <c r="C313" t="s">
        <v>16</v>
      </c>
      <c r="D313" t="s">
        <v>33</v>
      </c>
      <c r="E313" t="s">
        <v>25</v>
      </c>
      <c r="F313">
        <v>1</v>
      </c>
      <c r="G313">
        <v>119.99</v>
      </c>
      <c r="H313">
        <v>60</v>
      </c>
      <c r="I313">
        <f t="shared" si="20"/>
        <v>119.99</v>
      </c>
      <c r="J313">
        <f t="shared" si="21"/>
        <v>60</v>
      </c>
      <c r="K313">
        <f t="shared" si="22"/>
        <v>59.989999999999995</v>
      </c>
      <c r="L313" s="2">
        <f t="shared" si="23"/>
        <v>0.49995832986082173</v>
      </c>
      <c r="M313" t="str">
        <f t="shared" si="24"/>
        <v>Aug-2025</v>
      </c>
    </row>
    <row r="314" spans="1:13" x14ac:dyDescent="0.3">
      <c r="A314" s="1">
        <v>45888</v>
      </c>
      <c r="B314" t="s">
        <v>12</v>
      </c>
      <c r="C314" t="s">
        <v>9</v>
      </c>
      <c r="D314" t="s">
        <v>24</v>
      </c>
      <c r="E314" t="s">
        <v>25</v>
      </c>
      <c r="F314">
        <v>28</v>
      </c>
      <c r="G314">
        <v>29.99</v>
      </c>
      <c r="H314">
        <v>12</v>
      </c>
      <c r="I314">
        <f t="shared" si="20"/>
        <v>839.71999999999991</v>
      </c>
      <c r="J314">
        <f t="shared" si="21"/>
        <v>336</v>
      </c>
      <c r="K314">
        <f t="shared" si="22"/>
        <v>503.71999999999991</v>
      </c>
      <c r="L314" s="2">
        <f t="shared" si="23"/>
        <v>0.59986662220740239</v>
      </c>
      <c r="M314" t="str">
        <f t="shared" si="24"/>
        <v>Aug-2025</v>
      </c>
    </row>
    <row r="315" spans="1:13" x14ac:dyDescent="0.3">
      <c r="A315" s="1">
        <v>45890</v>
      </c>
      <c r="B315" t="s">
        <v>12</v>
      </c>
      <c r="C315" t="s">
        <v>9</v>
      </c>
      <c r="D315" t="s">
        <v>17</v>
      </c>
      <c r="E315" t="s">
        <v>11</v>
      </c>
      <c r="F315">
        <v>4</v>
      </c>
      <c r="G315">
        <v>179.99</v>
      </c>
      <c r="H315">
        <v>95</v>
      </c>
      <c r="I315">
        <f t="shared" si="20"/>
        <v>719.96</v>
      </c>
      <c r="J315">
        <f t="shared" si="21"/>
        <v>380</v>
      </c>
      <c r="K315">
        <f t="shared" si="22"/>
        <v>339.96000000000004</v>
      </c>
      <c r="L315" s="2">
        <f t="shared" si="23"/>
        <v>0.47219289960553368</v>
      </c>
      <c r="M315" t="str">
        <f t="shared" si="24"/>
        <v>Aug-2025</v>
      </c>
    </row>
    <row r="316" spans="1:13" x14ac:dyDescent="0.3">
      <c r="A316" s="1">
        <v>45890</v>
      </c>
      <c r="B316" t="s">
        <v>22</v>
      </c>
      <c r="C316" t="s">
        <v>23</v>
      </c>
      <c r="D316" t="s">
        <v>39</v>
      </c>
      <c r="E316" t="s">
        <v>25</v>
      </c>
      <c r="F316">
        <v>12</v>
      </c>
      <c r="G316">
        <v>149.99</v>
      </c>
      <c r="H316">
        <v>75</v>
      </c>
      <c r="I316">
        <f t="shared" si="20"/>
        <v>1799.88</v>
      </c>
      <c r="J316">
        <f t="shared" si="21"/>
        <v>900</v>
      </c>
      <c r="K316">
        <f t="shared" si="22"/>
        <v>899.88000000000011</v>
      </c>
      <c r="L316" s="2">
        <f t="shared" si="23"/>
        <v>0.49996666444429633</v>
      </c>
      <c r="M316" t="str">
        <f t="shared" si="24"/>
        <v>Aug-2025</v>
      </c>
    </row>
    <row r="317" spans="1:13" x14ac:dyDescent="0.3">
      <c r="A317" s="1">
        <v>45890</v>
      </c>
      <c r="B317" t="s">
        <v>37</v>
      </c>
      <c r="C317" t="s">
        <v>16</v>
      </c>
      <c r="D317" t="s">
        <v>29</v>
      </c>
      <c r="E317" t="s">
        <v>14</v>
      </c>
      <c r="F317">
        <v>41</v>
      </c>
      <c r="G317">
        <v>49.99</v>
      </c>
      <c r="H317">
        <v>22</v>
      </c>
      <c r="I317">
        <f t="shared" si="20"/>
        <v>2049.59</v>
      </c>
      <c r="J317">
        <f t="shared" si="21"/>
        <v>902</v>
      </c>
      <c r="K317">
        <f t="shared" si="22"/>
        <v>1147.5900000000001</v>
      </c>
      <c r="L317" s="2">
        <f t="shared" si="23"/>
        <v>0.55991198239647932</v>
      </c>
      <c r="M317" t="str">
        <f t="shared" si="24"/>
        <v>Aug-2025</v>
      </c>
    </row>
    <row r="318" spans="1:13" x14ac:dyDescent="0.3">
      <c r="A318" s="1">
        <v>45890</v>
      </c>
      <c r="B318" t="s">
        <v>12</v>
      </c>
      <c r="C318" t="s">
        <v>9</v>
      </c>
      <c r="D318" t="s">
        <v>17</v>
      </c>
      <c r="E318" t="s">
        <v>11</v>
      </c>
      <c r="F318">
        <v>13</v>
      </c>
      <c r="G318">
        <v>179.99</v>
      </c>
      <c r="H318">
        <v>95</v>
      </c>
      <c r="I318">
        <f t="shared" si="20"/>
        <v>2339.87</v>
      </c>
      <c r="J318">
        <f t="shared" si="21"/>
        <v>1235</v>
      </c>
      <c r="K318">
        <f t="shared" si="22"/>
        <v>1104.8699999999999</v>
      </c>
      <c r="L318" s="2">
        <f t="shared" si="23"/>
        <v>0.47219289960553362</v>
      </c>
      <c r="M318" t="str">
        <f t="shared" si="24"/>
        <v>Aug-2025</v>
      </c>
    </row>
    <row r="319" spans="1:13" x14ac:dyDescent="0.3">
      <c r="A319" s="1">
        <v>45891</v>
      </c>
      <c r="B319" t="s">
        <v>27</v>
      </c>
      <c r="C319" t="s">
        <v>23</v>
      </c>
      <c r="D319" t="s">
        <v>26</v>
      </c>
      <c r="E319" t="s">
        <v>25</v>
      </c>
      <c r="F319">
        <v>5</v>
      </c>
      <c r="G319">
        <v>1250</v>
      </c>
      <c r="H319">
        <v>850</v>
      </c>
      <c r="I319">
        <f t="shared" si="20"/>
        <v>6250</v>
      </c>
      <c r="J319">
        <f t="shared" si="21"/>
        <v>4250</v>
      </c>
      <c r="K319">
        <f t="shared" si="22"/>
        <v>2000</v>
      </c>
      <c r="L319" s="2">
        <f t="shared" si="23"/>
        <v>0.32</v>
      </c>
      <c r="M319" t="str">
        <f t="shared" si="24"/>
        <v>Aug-2025</v>
      </c>
    </row>
    <row r="320" spans="1:13" x14ac:dyDescent="0.3">
      <c r="A320" s="1">
        <v>45893</v>
      </c>
      <c r="B320" t="s">
        <v>31</v>
      </c>
      <c r="C320" t="s">
        <v>32</v>
      </c>
      <c r="D320" t="s">
        <v>33</v>
      </c>
      <c r="E320" t="s">
        <v>25</v>
      </c>
      <c r="F320">
        <v>11</v>
      </c>
      <c r="G320">
        <v>119.99</v>
      </c>
      <c r="H320">
        <v>60</v>
      </c>
      <c r="I320">
        <f t="shared" si="20"/>
        <v>1319.8899999999999</v>
      </c>
      <c r="J320">
        <f t="shared" si="21"/>
        <v>660</v>
      </c>
      <c r="K320">
        <f t="shared" si="22"/>
        <v>659.88999999999987</v>
      </c>
      <c r="L320" s="2">
        <f t="shared" si="23"/>
        <v>0.49995832986082167</v>
      </c>
      <c r="M320" t="str">
        <f t="shared" si="24"/>
        <v>Aug-2025</v>
      </c>
    </row>
    <row r="321" spans="1:13" x14ac:dyDescent="0.3">
      <c r="A321" s="1">
        <v>45894</v>
      </c>
      <c r="B321" t="s">
        <v>31</v>
      </c>
      <c r="C321" t="s">
        <v>32</v>
      </c>
      <c r="D321" t="s">
        <v>33</v>
      </c>
      <c r="E321" t="s">
        <v>25</v>
      </c>
      <c r="F321">
        <v>12</v>
      </c>
      <c r="G321">
        <v>119.99</v>
      </c>
      <c r="H321">
        <v>60</v>
      </c>
      <c r="I321">
        <f t="shared" si="20"/>
        <v>1439.8799999999999</v>
      </c>
      <c r="J321">
        <f t="shared" si="21"/>
        <v>720</v>
      </c>
      <c r="K321">
        <f t="shared" si="22"/>
        <v>719.87999999999988</v>
      </c>
      <c r="L321" s="2">
        <f t="shared" si="23"/>
        <v>0.49995832986082167</v>
      </c>
      <c r="M321" t="str">
        <f t="shared" si="24"/>
        <v>Aug-2025</v>
      </c>
    </row>
    <row r="322" spans="1:13" x14ac:dyDescent="0.3">
      <c r="A322" s="1">
        <v>45894</v>
      </c>
      <c r="B322" t="s">
        <v>8</v>
      </c>
      <c r="C322" t="s">
        <v>9</v>
      </c>
      <c r="D322" t="s">
        <v>28</v>
      </c>
      <c r="E322" t="s">
        <v>21</v>
      </c>
      <c r="F322">
        <v>10</v>
      </c>
      <c r="G322">
        <v>79.989999999999995</v>
      </c>
      <c r="H322">
        <v>40</v>
      </c>
      <c r="I322">
        <f t="shared" si="20"/>
        <v>799.9</v>
      </c>
      <c r="J322">
        <f t="shared" si="21"/>
        <v>400</v>
      </c>
      <c r="K322">
        <f t="shared" si="22"/>
        <v>399.9</v>
      </c>
      <c r="L322" s="2">
        <f t="shared" si="23"/>
        <v>0.49993749218652328</v>
      </c>
      <c r="M322" t="str">
        <f t="shared" si="24"/>
        <v>Aug-2025</v>
      </c>
    </row>
    <row r="323" spans="1:13" x14ac:dyDescent="0.3">
      <c r="A323" s="1">
        <v>45894</v>
      </c>
      <c r="B323" t="s">
        <v>22</v>
      </c>
      <c r="C323" t="s">
        <v>23</v>
      </c>
      <c r="D323" t="s">
        <v>30</v>
      </c>
      <c r="E323" t="s">
        <v>21</v>
      </c>
      <c r="F323">
        <v>43</v>
      </c>
      <c r="G323">
        <v>89.99</v>
      </c>
      <c r="H323">
        <v>42</v>
      </c>
      <c r="I323">
        <f t="shared" ref="I323:I386" si="25">F323*G323</f>
        <v>3869.5699999999997</v>
      </c>
      <c r="J323">
        <f t="shared" ref="J323:J386" si="26">F323*H323</f>
        <v>1806</v>
      </c>
      <c r="K323">
        <f t="shared" ref="K323:K386" si="27">I323-J323</f>
        <v>2063.5699999999997</v>
      </c>
      <c r="L323" s="2">
        <f t="shared" ref="L323:L386" si="28">K323/I323</f>
        <v>0.53328147571952433</v>
      </c>
      <c r="M323" t="str">
        <f t="shared" ref="M323:M386" si="29">TEXT(A323,"mmm-yyyy")</f>
        <v>Aug-2025</v>
      </c>
    </row>
    <row r="324" spans="1:13" x14ac:dyDescent="0.3">
      <c r="A324" s="1">
        <v>45895</v>
      </c>
      <c r="B324" t="s">
        <v>15</v>
      </c>
      <c r="C324" t="s">
        <v>16</v>
      </c>
      <c r="D324" t="s">
        <v>30</v>
      </c>
      <c r="E324" t="s">
        <v>21</v>
      </c>
      <c r="F324">
        <v>28</v>
      </c>
      <c r="G324">
        <v>89.99</v>
      </c>
      <c r="H324">
        <v>42</v>
      </c>
      <c r="I324">
        <f t="shared" si="25"/>
        <v>2519.7199999999998</v>
      </c>
      <c r="J324">
        <f t="shared" si="26"/>
        <v>1176</v>
      </c>
      <c r="K324">
        <f t="shared" si="27"/>
        <v>1343.7199999999998</v>
      </c>
      <c r="L324" s="2">
        <f t="shared" si="28"/>
        <v>0.53328147571952433</v>
      </c>
      <c r="M324" t="str">
        <f t="shared" si="29"/>
        <v>Aug-2025</v>
      </c>
    </row>
    <row r="325" spans="1:13" x14ac:dyDescent="0.3">
      <c r="A325" s="1">
        <v>45895</v>
      </c>
      <c r="B325" t="s">
        <v>37</v>
      </c>
      <c r="C325" t="s">
        <v>16</v>
      </c>
      <c r="D325" t="s">
        <v>35</v>
      </c>
      <c r="E325" t="s">
        <v>25</v>
      </c>
      <c r="F325">
        <v>11</v>
      </c>
      <c r="G325">
        <v>349.99</v>
      </c>
      <c r="H325">
        <v>210</v>
      </c>
      <c r="I325">
        <f t="shared" si="25"/>
        <v>3849.8900000000003</v>
      </c>
      <c r="J325">
        <f t="shared" si="26"/>
        <v>2310</v>
      </c>
      <c r="K325">
        <f t="shared" si="27"/>
        <v>1539.8900000000003</v>
      </c>
      <c r="L325" s="2">
        <f t="shared" si="28"/>
        <v>0.39998285665304728</v>
      </c>
      <c r="M325" t="str">
        <f t="shared" si="29"/>
        <v>Aug-2025</v>
      </c>
    </row>
    <row r="326" spans="1:13" x14ac:dyDescent="0.3">
      <c r="A326" s="1">
        <v>45896</v>
      </c>
      <c r="B326" t="s">
        <v>15</v>
      </c>
      <c r="C326" t="s">
        <v>16</v>
      </c>
      <c r="D326" t="s">
        <v>28</v>
      </c>
      <c r="E326" t="s">
        <v>21</v>
      </c>
      <c r="F326">
        <v>17</v>
      </c>
      <c r="G326">
        <v>79.989999999999995</v>
      </c>
      <c r="H326">
        <v>40</v>
      </c>
      <c r="I326">
        <f t="shared" si="25"/>
        <v>1359.83</v>
      </c>
      <c r="J326">
        <f t="shared" si="26"/>
        <v>680</v>
      </c>
      <c r="K326">
        <f t="shared" si="27"/>
        <v>679.82999999999993</v>
      </c>
      <c r="L326" s="2">
        <f t="shared" si="28"/>
        <v>0.49993749218652328</v>
      </c>
      <c r="M326" t="str">
        <f t="shared" si="29"/>
        <v>Aug-2025</v>
      </c>
    </row>
    <row r="327" spans="1:13" x14ac:dyDescent="0.3">
      <c r="A327" s="1">
        <v>45897</v>
      </c>
      <c r="B327" t="s">
        <v>12</v>
      </c>
      <c r="C327" t="s">
        <v>9</v>
      </c>
      <c r="D327" t="s">
        <v>34</v>
      </c>
      <c r="E327" t="s">
        <v>11</v>
      </c>
      <c r="F327">
        <v>2</v>
      </c>
      <c r="G327">
        <v>299.99</v>
      </c>
      <c r="H327">
        <v>160</v>
      </c>
      <c r="I327">
        <f t="shared" si="25"/>
        <v>599.98</v>
      </c>
      <c r="J327">
        <f t="shared" si="26"/>
        <v>320</v>
      </c>
      <c r="K327">
        <f t="shared" si="27"/>
        <v>279.98</v>
      </c>
      <c r="L327" s="2">
        <f t="shared" si="28"/>
        <v>0.46664888829627654</v>
      </c>
      <c r="M327" t="str">
        <f t="shared" si="29"/>
        <v>Aug-2025</v>
      </c>
    </row>
    <row r="328" spans="1:13" x14ac:dyDescent="0.3">
      <c r="A328" s="1">
        <v>45898</v>
      </c>
      <c r="B328" t="s">
        <v>22</v>
      </c>
      <c r="C328" t="s">
        <v>23</v>
      </c>
      <c r="D328" t="s">
        <v>35</v>
      </c>
      <c r="E328" t="s">
        <v>25</v>
      </c>
      <c r="F328">
        <v>9</v>
      </c>
      <c r="G328">
        <v>349.99</v>
      </c>
      <c r="H328">
        <v>210</v>
      </c>
      <c r="I328">
        <f t="shared" si="25"/>
        <v>3149.91</v>
      </c>
      <c r="J328">
        <f t="shared" si="26"/>
        <v>1890</v>
      </c>
      <c r="K328">
        <f t="shared" si="27"/>
        <v>1259.9099999999999</v>
      </c>
      <c r="L328" s="2">
        <f t="shared" si="28"/>
        <v>0.39998285665304723</v>
      </c>
      <c r="M328" t="str">
        <f t="shared" si="29"/>
        <v>Aug-2025</v>
      </c>
    </row>
    <row r="329" spans="1:13" x14ac:dyDescent="0.3">
      <c r="A329" s="1">
        <v>45899</v>
      </c>
      <c r="B329" t="s">
        <v>8</v>
      </c>
      <c r="C329" t="s">
        <v>9</v>
      </c>
      <c r="D329" t="s">
        <v>34</v>
      </c>
      <c r="E329" t="s">
        <v>11</v>
      </c>
      <c r="F329">
        <v>7</v>
      </c>
      <c r="G329">
        <v>299.99</v>
      </c>
      <c r="H329">
        <v>160</v>
      </c>
      <c r="I329">
        <f t="shared" si="25"/>
        <v>2099.9300000000003</v>
      </c>
      <c r="J329">
        <f t="shared" si="26"/>
        <v>1120</v>
      </c>
      <c r="K329">
        <f t="shared" si="27"/>
        <v>979.93000000000029</v>
      </c>
      <c r="L329" s="2">
        <f t="shared" si="28"/>
        <v>0.4666488882962766</v>
      </c>
      <c r="M329" t="str">
        <f t="shared" si="29"/>
        <v>Aug-2025</v>
      </c>
    </row>
    <row r="330" spans="1:13" x14ac:dyDescent="0.3">
      <c r="A330" s="1">
        <v>45900</v>
      </c>
      <c r="B330" t="s">
        <v>15</v>
      </c>
      <c r="C330" t="s">
        <v>16</v>
      </c>
      <c r="D330" t="s">
        <v>30</v>
      </c>
      <c r="E330" t="s">
        <v>21</v>
      </c>
      <c r="F330">
        <v>8</v>
      </c>
      <c r="G330">
        <v>89.99</v>
      </c>
      <c r="H330">
        <v>42</v>
      </c>
      <c r="I330">
        <f t="shared" si="25"/>
        <v>719.92</v>
      </c>
      <c r="J330">
        <f t="shared" si="26"/>
        <v>336</v>
      </c>
      <c r="K330">
        <f t="shared" si="27"/>
        <v>383.91999999999996</v>
      </c>
      <c r="L330" s="2">
        <f t="shared" si="28"/>
        <v>0.53328147571952433</v>
      </c>
      <c r="M330" t="str">
        <f t="shared" si="29"/>
        <v>Aug-2025</v>
      </c>
    </row>
    <row r="331" spans="1:13" x14ac:dyDescent="0.3">
      <c r="A331" s="1">
        <v>45901</v>
      </c>
      <c r="B331" t="s">
        <v>27</v>
      </c>
      <c r="C331" t="s">
        <v>23</v>
      </c>
      <c r="D331" t="s">
        <v>28</v>
      </c>
      <c r="E331" t="s">
        <v>21</v>
      </c>
      <c r="F331">
        <v>12</v>
      </c>
      <c r="G331">
        <v>79.989999999999995</v>
      </c>
      <c r="H331">
        <v>40</v>
      </c>
      <c r="I331">
        <f t="shared" si="25"/>
        <v>959.87999999999988</v>
      </c>
      <c r="J331">
        <f t="shared" si="26"/>
        <v>480</v>
      </c>
      <c r="K331">
        <f t="shared" si="27"/>
        <v>479.87999999999988</v>
      </c>
      <c r="L331" s="2">
        <f t="shared" si="28"/>
        <v>0.49993749218652328</v>
      </c>
      <c r="M331" t="str">
        <f t="shared" si="29"/>
        <v>Sep-2025</v>
      </c>
    </row>
    <row r="332" spans="1:13" x14ac:dyDescent="0.3">
      <c r="A332" s="1">
        <v>45903</v>
      </c>
      <c r="B332" t="s">
        <v>31</v>
      </c>
      <c r="C332" t="s">
        <v>32</v>
      </c>
      <c r="D332" t="s">
        <v>34</v>
      </c>
      <c r="E332" t="s">
        <v>11</v>
      </c>
      <c r="F332">
        <v>4</v>
      </c>
      <c r="G332">
        <v>299.99</v>
      </c>
      <c r="H332">
        <v>160</v>
      </c>
      <c r="I332">
        <f t="shared" si="25"/>
        <v>1199.96</v>
      </c>
      <c r="J332">
        <f t="shared" si="26"/>
        <v>640</v>
      </c>
      <c r="K332">
        <f t="shared" si="27"/>
        <v>559.96</v>
      </c>
      <c r="L332" s="2">
        <f t="shared" si="28"/>
        <v>0.46664888829627654</v>
      </c>
      <c r="M332" t="str">
        <f t="shared" si="29"/>
        <v>Sep-2025</v>
      </c>
    </row>
    <row r="333" spans="1:13" x14ac:dyDescent="0.3">
      <c r="A333" s="1">
        <v>45903</v>
      </c>
      <c r="B333" t="s">
        <v>12</v>
      </c>
      <c r="C333" t="s">
        <v>9</v>
      </c>
      <c r="D333" t="s">
        <v>39</v>
      </c>
      <c r="E333" t="s">
        <v>25</v>
      </c>
      <c r="F333">
        <v>13</v>
      </c>
      <c r="G333">
        <v>149.99</v>
      </c>
      <c r="H333">
        <v>75</v>
      </c>
      <c r="I333">
        <f t="shared" si="25"/>
        <v>1949.8700000000001</v>
      </c>
      <c r="J333">
        <f t="shared" si="26"/>
        <v>975</v>
      </c>
      <c r="K333">
        <f t="shared" si="27"/>
        <v>974.87000000000012</v>
      </c>
      <c r="L333" s="2">
        <f t="shared" si="28"/>
        <v>0.49996666444429633</v>
      </c>
      <c r="M333" t="str">
        <f t="shared" si="29"/>
        <v>Sep-2025</v>
      </c>
    </row>
    <row r="334" spans="1:13" x14ac:dyDescent="0.3">
      <c r="A334" s="1">
        <v>45904</v>
      </c>
      <c r="B334" t="s">
        <v>8</v>
      </c>
      <c r="C334" t="s">
        <v>9</v>
      </c>
      <c r="D334" t="s">
        <v>28</v>
      </c>
      <c r="E334" t="s">
        <v>21</v>
      </c>
      <c r="F334">
        <v>49</v>
      </c>
      <c r="G334">
        <v>79.989999999999995</v>
      </c>
      <c r="H334">
        <v>40</v>
      </c>
      <c r="I334">
        <f t="shared" si="25"/>
        <v>3919.5099999999998</v>
      </c>
      <c r="J334">
        <f t="shared" si="26"/>
        <v>1960</v>
      </c>
      <c r="K334">
        <f t="shared" si="27"/>
        <v>1959.5099999999998</v>
      </c>
      <c r="L334" s="2">
        <f t="shared" si="28"/>
        <v>0.49993749218652328</v>
      </c>
      <c r="M334" t="str">
        <f t="shared" si="29"/>
        <v>Sep-2025</v>
      </c>
    </row>
    <row r="335" spans="1:13" x14ac:dyDescent="0.3">
      <c r="A335" s="1">
        <v>45904</v>
      </c>
      <c r="B335" t="s">
        <v>15</v>
      </c>
      <c r="C335" t="s">
        <v>16</v>
      </c>
      <c r="D335" t="s">
        <v>30</v>
      </c>
      <c r="E335" t="s">
        <v>21</v>
      </c>
      <c r="F335">
        <v>14</v>
      </c>
      <c r="G335">
        <v>89.99</v>
      </c>
      <c r="H335">
        <v>42</v>
      </c>
      <c r="I335">
        <f t="shared" si="25"/>
        <v>1259.8599999999999</v>
      </c>
      <c r="J335">
        <f t="shared" si="26"/>
        <v>588</v>
      </c>
      <c r="K335">
        <f t="shared" si="27"/>
        <v>671.8599999999999</v>
      </c>
      <c r="L335" s="2">
        <f t="shared" si="28"/>
        <v>0.53328147571952433</v>
      </c>
      <c r="M335" t="str">
        <f t="shared" si="29"/>
        <v>Sep-2025</v>
      </c>
    </row>
    <row r="336" spans="1:13" x14ac:dyDescent="0.3">
      <c r="A336" s="1">
        <v>45904</v>
      </c>
      <c r="B336" t="s">
        <v>37</v>
      </c>
      <c r="C336" t="s">
        <v>16</v>
      </c>
      <c r="D336" t="s">
        <v>35</v>
      </c>
      <c r="E336" t="s">
        <v>25</v>
      </c>
      <c r="F336">
        <v>11</v>
      </c>
      <c r="G336">
        <v>349.99</v>
      </c>
      <c r="H336">
        <v>210</v>
      </c>
      <c r="I336">
        <f t="shared" si="25"/>
        <v>3849.8900000000003</v>
      </c>
      <c r="J336">
        <f t="shared" si="26"/>
        <v>2310</v>
      </c>
      <c r="K336">
        <f t="shared" si="27"/>
        <v>1539.8900000000003</v>
      </c>
      <c r="L336" s="2">
        <f t="shared" si="28"/>
        <v>0.39998285665304728</v>
      </c>
      <c r="M336" t="str">
        <f t="shared" si="29"/>
        <v>Sep-2025</v>
      </c>
    </row>
    <row r="337" spans="1:13" x14ac:dyDescent="0.3">
      <c r="A337" s="1">
        <v>45907</v>
      </c>
      <c r="B337" t="s">
        <v>27</v>
      </c>
      <c r="C337" t="s">
        <v>23</v>
      </c>
      <c r="D337" t="s">
        <v>13</v>
      </c>
      <c r="E337" t="s">
        <v>14</v>
      </c>
      <c r="F337">
        <v>38</v>
      </c>
      <c r="G337">
        <v>34.99</v>
      </c>
      <c r="H337">
        <v>14</v>
      </c>
      <c r="I337">
        <f t="shared" si="25"/>
        <v>1329.6200000000001</v>
      </c>
      <c r="J337">
        <f t="shared" si="26"/>
        <v>532</v>
      </c>
      <c r="K337">
        <f t="shared" si="27"/>
        <v>797.62000000000012</v>
      </c>
      <c r="L337" s="2">
        <f t="shared" si="28"/>
        <v>0.59988568162332101</v>
      </c>
      <c r="M337" t="str">
        <f t="shared" si="29"/>
        <v>Sep-2025</v>
      </c>
    </row>
    <row r="338" spans="1:13" x14ac:dyDescent="0.3">
      <c r="A338" s="1">
        <v>45907</v>
      </c>
      <c r="B338" t="s">
        <v>27</v>
      </c>
      <c r="C338" t="s">
        <v>23</v>
      </c>
      <c r="D338" t="s">
        <v>28</v>
      </c>
      <c r="E338" t="s">
        <v>21</v>
      </c>
      <c r="F338">
        <v>30</v>
      </c>
      <c r="G338">
        <v>79.989999999999995</v>
      </c>
      <c r="H338">
        <v>40</v>
      </c>
      <c r="I338">
        <f t="shared" si="25"/>
        <v>2399.6999999999998</v>
      </c>
      <c r="J338">
        <f t="shared" si="26"/>
        <v>1200</v>
      </c>
      <c r="K338">
        <f t="shared" si="27"/>
        <v>1199.6999999999998</v>
      </c>
      <c r="L338" s="2">
        <f t="shared" si="28"/>
        <v>0.49993749218652328</v>
      </c>
      <c r="M338" t="str">
        <f t="shared" si="29"/>
        <v>Sep-2025</v>
      </c>
    </row>
    <row r="339" spans="1:13" x14ac:dyDescent="0.3">
      <c r="A339" s="1">
        <v>45909</v>
      </c>
      <c r="B339" t="s">
        <v>15</v>
      </c>
      <c r="C339" t="s">
        <v>16</v>
      </c>
      <c r="D339" t="s">
        <v>24</v>
      </c>
      <c r="E339" t="s">
        <v>25</v>
      </c>
      <c r="F339">
        <v>45</v>
      </c>
      <c r="G339">
        <v>29.99</v>
      </c>
      <c r="H339">
        <v>12</v>
      </c>
      <c r="I339">
        <f t="shared" si="25"/>
        <v>1349.55</v>
      </c>
      <c r="J339">
        <f t="shared" si="26"/>
        <v>540</v>
      </c>
      <c r="K339">
        <f t="shared" si="27"/>
        <v>809.55</v>
      </c>
      <c r="L339" s="2">
        <f t="shared" si="28"/>
        <v>0.5998666222074025</v>
      </c>
      <c r="M339" t="str">
        <f t="shared" si="29"/>
        <v>Sep-2025</v>
      </c>
    </row>
    <row r="340" spans="1:13" x14ac:dyDescent="0.3">
      <c r="A340" s="1">
        <v>45909</v>
      </c>
      <c r="B340" t="s">
        <v>31</v>
      </c>
      <c r="C340" t="s">
        <v>32</v>
      </c>
      <c r="D340" t="s">
        <v>29</v>
      </c>
      <c r="E340" t="s">
        <v>14</v>
      </c>
      <c r="F340">
        <v>7</v>
      </c>
      <c r="G340">
        <v>49.99</v>
      </c>
      <c r="H340">
        <v>22</v>
      </c>
      <c r="I340">
        <f t="shared" si="25"/>
        <v>349.93</v>
      </c>
      <c r="J340">
        <f t="shared" si="26"/>
        <v>154</v>
      </c>
      <c r="K340">
        <f t="shared" si="27"/>
        <v>195.93</v>
      </c>
      <c r="L340" s="2">
        <f t="shared" si="28"/>
        <v>0.55991198239647932</v>
      </c>
      <c r="M340" t="str">
        <f t="shared" si="29"/>
        <v>Sep-2025</v>
      </c>
    </row>
    <row r="341" spans="1:13" x14ac:dyDescent="0.3">
      <c r="A341" s="1">
        <v>45909</v>
      </c>
      <c r="B341" t="s">
        <v>15</v>
      </c>
      <c r="C341" t="s">
        <v>16</v>
      </c>
      <c r="D341" t="s">
        <v>30</v>
      </c>
      <c r="E341" t="s">
        <v>21</v>
      </c>
      <c r="F341">
        <v>10</v>
      </c>
      <c r="G341">
        <v>89.99</v>
      </c>
      <c r="H341">
        <v>42</v>
      </c>
      <c r="I341">
        <f t="shared" si="25"/>
        <v>899.9</v>
      </c>
      <c r="J341">
        <f t="shared" si="26"/>
        <v>420</v>
      </c>
      <c r="K341">
        <f t="shared" si="27"/>
        <v>479.9</v>
      </c>
      <c r="L341" s="2">
        <f t="shared" si="28"/>
        <v>0.53328147571952433</v>
      </c>
      <c r="M341" t="str">
        <f t="shared" si="29"/>
        <v>Sep-2025</v>
      </c>
    </row>
    <row r="342" spans="1:13" x14ac:dyDescent="0.3">
      <c r="A342" s="1">
        <v>45909</v>
      </c>
      <c r="B342" t="s">
        <v>12</v>
      </c>
      <c r="C342" t="s">
        <v>9</v>
      </c>
      <c r="D342" t="s">
        <v>36</v>
      </c>
      <c r="E342" t="s">
        <v>25</v>
      </c>
      <c r="F342">
        <v>9</v>
      </c>
      <c r="G342">
        <v>89.99</v>
      </c>
      <c r="H342">
        <v>45</v>
      </c>
      <c r="I342">
        <f t="shared" si="25"/>
        <v>809.91</v>
      </c>
      <c r="J342">
        <f t="shared" si="26"/>
        <v>405</v>
      </c>
      <c r="K342">
        <f t="shared" si="27"/>
        <v>404.90999999999997</v>
      </c>
      <c r="L342" s="2">
        <f t="shared" si="28"/>
        <v>0.49994443827091894</v>
      </c>
      <c r="M342" t="str">
        <f t="shared" si="29"/>
        <v>Sep-2025</v>
      </c>
    </row>
    <row r="343" spans="1:13" x14ac:dyDescent="0.3">
      <c r="A343" s="1">
        <v>45910</v>
      </c>
      <c r="B343" t="s">
        <v>15</v>
      </c>
      <c r="C343" t="s">
        <v>16</v>
      </c>
      <c r="D343" t="s">
        <v>36</v>
      </c>
      <c r="E343" t="s">
        <v>25</v>
      </c>
      <c r="F343">
        <v>9</v>
      </c>
      <c r="G343">
        <v>89.99</v>
      </c>
      <c r="H343">
        <v>45</v>
      </c>
      <c r="I343">
        <f t="shared" si="25"/>
        <v>809.91</v>
      </c>
      <c r="J343">
        <f t="shared" si="26"/>
        <v>405</v>
      </c>
      <c r="K343">
        <f t="shared" si="27"/>
        <v>404.90999999999997</v>
      </c>
      <c r="L343" s="2">
        <f t="shared" si="28"/>
        <v>0.49994443827091894</v>
      </c>
      <c r="M343" t="str">
        <f t="shared" si="29"/>
        <v>Sep-2025</v>
      </c>
    </row>
    <row r="344" spans="1:13" x14ac:dyDescent="0.3">
      <c r="A344" s="1">
        <v>45910</v>
      </c>
      <c r="B344" t="s">
        <v>27</v>
      </c>
      <c r="C344" t="s">
        <v>23</v>
      </c>
      <c r="D344" t="s">
        <v>35</v>
      </c>
      <c r="E344" t="s">
        <v>25</v>
      </c>
      <c r="F344">
        <v>6</v>
      </c>
      <c r="G344">
        <v>349.99</v>
      </c>
      <c r="H344">
        <v>210</v>
      </c>
      <c r="I344">
        <f t="shared" si="25"/>
        <v>2099.94</v>
      </c>
      <c r="J344">
        <f t="shared" si="26"/>
        <v>1260</v>
      </c>
      <c r="K344">
        <f t="shared" si="27"/>
        <v>839.94</v>
      </c>
      <c r="L344" s="2">
        <f t="shared" si="28"/>
        <v>0.39998285665304723</v>
      </c>
      <c r="M344" t="str">
        <f t="shared" si="29"/>
        <v>Sep-2025</v>
      </c>
    </row>
    <row r="345" spans="1:13" x14ac:dyDescent="0.3">
      <c r="A345" s="1">
        <v>45911</v>
      </c>
      <c r="B345" t="s">
        <v>8</v>
      </c>
      <c r="C345" t="s">
        <v>9</v>
      </c>
      <c r="D345" t="s">
        <v>35</v>
      </c>
      <c r="E345" t="s">
        <v>25</v>
      </c>
      <c r="F345">
        <v>7</v>
      </c>
      <c r="G345">
        <v>349.99</v>
      </c>
      <c r="H345">
        <v>210</v>
      </c>
      <c r="I345">
        <f t="shared" si="25"/>
        <v>2449.9300000000003</v>
      </c>
      <c r="J345">
        <f t="shared" si="26"/>
        <v>1470</v>
      </c>
      <c r="K345">
        <f t="shared" si="27"/>
        <v>979.93000000000029</v>
      </c>
      <c r="L345" s="2">
        <f t="shared" si="28"/>
        <v>0.39998285665304728</v>
      </c>
      <c r="M345" t="str">
        <f t="shared" si="29"/>
        <v>Sep-2025</v>
      </c>
    </row>
    <row r="346" spans="1:13" x14ac:dyDescent="0.3">
      <c r="A346" s="1">
        <v>45911</v>
      </c>
      <c r="B346" t="s">
        <v>15</v>
      </c>
      <c r="C346" t="s">
        <v>16</v>
      </c>
      <c r="D346" t="s">
        <v>17</v>
      </c>
      <c r="E346" t="s">
        <v>11</v>
      </c>
      <c r="F346">
        <v>1</v>
      </c>
      <c r="G346">
        <v>179.99</v>
      </c>
      <c r="H346">
        <v>95</v>
      </c>
      <c r="I346">
        <f t="shared" si="25"/>
        <v>179.99</v>
      </c>
      <c r="J346">
        <f t="shared" si="26"/>
        <v>95</v>
      </c>
      <c r="K346">
        <f t="shared" si="27"/>
        <v>84.990000000000009</v>
      </c>
      <c r="L346" s="2">
        <f t="shared" si="28"/>
        <v>0.47219289960553368</v>
      </c>
      <c r="M346" t="str">
        <f t="shared" si="29"/>
        <v>Sep-2025</v>
      </c>
    </row>
    <row r="347" spans="1:13" x14ac:dyDescent="0.3">
      <c r="A347" s="1">
        <v>45911</v>
      </c>
      <c r="B347" t="s">
        <v>31</v>
      </c>
      <c r="C347" t="s">
        <v>32</v>
      </c>
      <c r="D347" t="s">
        <v>29</v>
      </c>
      <c r="E347" t="s">
        <v>14</v>
      </c>
      <c r="F347">
        <v>13</v>
      </c>
      <c r="G347">
        <v>49.99</v>
      </c>
      <c r="H347">
        <v>22</v>
      </c>
      <c r="I347">
        <f t="shared" si="25"/>
        <v>649.87</v>
      </c>
      <c r="J347">
        <f t="shared" si="26"/>
        <v>286</v>
      </c>
      <c r="K347">
        <f t="shared" si="27"/>
        <v>363.87</v>
      </c>
      <c r="L347" s="2">
        <f t="shared" si="28"/>
        <v>0.55991198239647932</v>
      </c>
      <c r="M347" t="str">
        <f t="shared" si="29"/>
        <v>Sep-2025</v>
      </c>
    </row>
    <row r="348" spans="1:13" x14ac:dyDescent="0.3">
      <c r="A348" s="1">
        <v>45912</v>
      </c>
      <c r="B348" t="s">
        <v>22</v>
      </c>
      <c r="C348" t="s">
        <v>23</v>
      </c>
      <c r="D348" t="s">
        <v>29</v>
      </c>
      <c r="E348" t="s">
        <v>14</v>
      </c>
      <c r="F348">
        <v>39</v>
      </c>
      <c r="G348">
        <v>49.99</v>
      </c>
      <c r="H348">
        <v>22</v>
      </c>
      <c r="I348">
        <f t="shared" si="25"/>
        <v>1949.6100000000001</v>
      </c>
      <c r="J348">
        <f t="shared" si="26"/>
        <v>858</v>
      </c>
      <c r="K348">
        <f t="shared" si="27"/>
        <v>1091.6100000000001</v>
      </c>
      <c r="L348" s="2">
        <f t="shared" si="28"/>
        <v>0.55991198239647932</v>
      </c>
      <c r="M348" t="str">
        <f t="shared" si="29"/>
        <v>Sep-2025</v>
      </c>
    </row>
    <row r="349" spans="1:13" x14ac:dyDescent="0.3">
      <c r="A349" s="1">
        <v>45912</v>
      </c>
      <c r="B349" t="s">
        <v>8</v>
      </c>
      <c r="C349" t="s">
        <v>9</v>
      </c>
      <c r="D349" t="s">
        <v>39</v>
      </c>
      <c r="E349" t="s">
        <v>25</v>
      </c>
      <c r="F349">
        <v>4</v>
      </c>
      <c r="G349">
        <v>149.99</v>
      </c>
      <c r="H349">
        <v>75</v>
      </c>
      <c r="I349">
        <f t="shared" si="25"/>
        <v>599.96</v>
      </c>
      <c r="J349">
        <f t="shared" si="26"/>
        <v>300</v>
      </c>
      <c r="K349">
        <f t="shared" si="27"/>
        <v>299.96000000000004</v>
      </c>
      <c r="L349" s="2">
        <f t="shared" si="28"/>
        <v>0.49996666444429633</v>
      </c>
      <c r="M349" t="str">
        <f t="shared" si="29"/>
        <v>Sep-2025</v>
      </c>
    </row>
    <row r="350" spans="1:13" x14ac:dyDescent="0.3">
      <c r="A350" s="1">
        <v>45913</v>
      </c>
      <c r="B350" t="s">
        <v>37</v>
      </c>
      <c r="C350" t="s">
        <v>16</v>
      </c>
      <c r="D350" t="s">
        <v>35</v>
      </c>
      <c r="E350" t="s">
        <v>25</v>
      </c>
      <c r="F350">
        <v>10</v>
      </c>
      <c r="G350">
        <v>349.99</v>
      </c>
      <c r="H350">
        <v>210</v>
      </c>
      <c r="I350">
        <f t="shared" si="25"/>
        <v>3499.9</v>
      </c>
      <c r="J350">
        <f t="shared" si="26"/>
        <v>2100</v>
      </c>
      <c r="K350">
        <f t="shared" si="27"/>
        <v>1399.9</v>
      </c>
      <c r="L350" s="2">
        <f t="shared" si="28"/>
        <v>0.39998285665304723</v>
      </c>
      <c r="M350" t="str">
        <f t="shared" si="29"/>
        <v>Sep-2025</v>
      </c>
    </row>
    <row r="351" spans="1:13" x14ac:dyDescent="0.3">
      <c r="A351" s="1">
        <v>45914</v>
      </c>
      <c r="B351" t="s">
        <v>18</v>
      </c>
      <c r="C351" t="s">
        <v>19</v>
      </c>
      <c r="D351" t="s">
        <v>29</v>
      </c>
      <c r="E351" t="s">
        <v>14</v>
      </c>
      <c r="F351">
        <v>46</v>
      </c>
      <c r="G351">
        <v>49.99</v>
      </c>
      <c r="H351">
        <v>22</v>
      </c>
      <c r="I351">
        <f t="shared" si="25"/>
        <v>2299.54</v>
      </c>
      <c r="J351">
        <f t="shared" si="26"/>
        <v>1012</v>
      </c>
      <c r="K351">
        <f t="shared" si="27"/>
        <v>1287.54</v>
      </c>
      <c r="L351" s="2">
        <f t="shared" si="28"/>
        <v>0.55991198239647932</v>
      </c>
      <c r="M351" t="str">
        <f t="shared" si="29"/>
        <v>Sep-2025</v>
      </c>
    </row>
    <row r="352" spans="1:13" x14ac:dyDescent="0.3">
      <c r="A352" s="1">
        <v>45914</v>
      </c>
      <c r="B352" t="s">
        <v>15</v>
      </c>
      <c r="C352" t="s">
        <v>16</v>
      </c>
      <c r="D352" t="s">
        <v>20</v>
      </c>
      <c r="E352" t="s">
        <v>21</v>
      </c>
      <c r="F352">
        <v>39</v>
      </c>
      <c r="G352">
        <v>24.99</v>
      </c>
      <c r="H352">
        <v>10</v>
      </c>
      <c r="I352">
        <f t="shared" si="25"/>
        <v>974.6099999999999</v>
      </c>
      <c r="J352">
        <f t="shared" si="26"/>
        <v>390</v>
      </c>
      <c r="K352">
        <f t="shared" si="27"/>
        <v>584.6099999999999</v>
      </c>
      <c r="L352" s="2">
        <f t="shared" si="28"/>
        <v>0.59983993597438967</v>
      </c>
      <c r="M352" t="str">
        <f t="shared" si="29"/>
        <v>Sep-2025</v>
      </c>
    </row>
    <row r="353" spans="1:13" x14ac:dyDescent="0.3">
      <c r="A353" s="1">
        <v>45915</v>
      </c>
      <c r="B353" t="s">
        <v>31</v>
      </c>
      <c r="C353" t="s">
        <v>32</v>
      </c>
      <c r="D353" t="s">
        <v>17</v>
      </c>
      <c r="E353" t="s">
        <v>11</v>
      </c>
      <c r="F353">
        <v>2</v>
      </c>
      <c r="G353">
        <v>179.99</v>
      </c>
      <c r="H353">
        <v>95</v>
      </c>
      <c r="I353">
        <f t="shared" si="25"/>
        <v>359.98</v>
      </c>
      <c r="J353">
        <f t="shared" si="26"/>
        <v>190</v>
      </c>
      <c r="K353">
        <f t="shared" si="27"/>
        <v>169.98000000000002</v>
      </c>
      <c r="L353" s="2">
        <f t="shared" si="28"/>
        <v>0.47219289960553368</v>
      </c>
      <c r="M353" t="str">
        <f t="shared" si="29"/>
        <v>Sep-2025</v>
      </c>
    </row>
    <row r="354" spans="1:13" x14ac:dyDescent="0.3">
      <c r="A354" s="1">
        <v>45916</v>
      </c>
      <c r="B354" t="s">
        <v>8</v>
      </c>
      <c r="C354" t="s">
        <v>9</v>
      </c>
      <c r="D354" t="s">
        <v>34</v>
      </c>
      <c r="E354" t="s">
        <v>11</v>
      </c>
      <c r="F354">
        <v>2</v>
      </c>
      <c r="G354">
        <v>299.99</v>
      </c>
      <c r="H354">
        <v>160</v>
      </c>
      <c r="I354">
        <f t="shared" si="25"/>
        <v>599.98</v>
      </c>
      <c r="J354">
        <f t="shared" si="26"/>
        <v>320</v>
      </c>
      <c r="K354">
        <f t="shared" si="27"/>
        <v>279.98</v>
      </c>
      <c r="L354" s="2">
        <f t="shared" si="28"/>
        <v>0.46664888829627654</v>
      </c>
      <c r="M354" t="str">
        <f t="shared" si="29"/>
        <v>Sep-2025</v>
      </c>
    </row>
    <row r="355" spans="1:13" x14ac:dyDescent="0.3">
      <c r="A355" s="1">
        <v>45916</v>
      </c>
      <c r="B355" t="s">
        <v>31</v>
      </c>
      <c r="C355" t="s">
        <v>32</v>
      </c>
      <c r="D355" t="s">
        <v>33</v>
      </c>
      <c r="E355" t="s">
        <v>25</v>
      </c>
      <c r="F355">
        <v>14</v>
      </c>
      <c r="G355">
        <v>119.99</v>
      </c>
      <c r="H355">
        <v>60</v>
      </c>
      <c r="I355">
        <f t="shared" si="25"/>
        <v>1679.86</v>
      </c>
      <c r="J355">
        <f t="shared" si="26"/>
        <v>840</v>
      </c>
      <c r="K355">
        <f t="shared" si="27"/>
        <v>839.8599999999999</v>
      </c>
      <c r="L355" s="2">
        <f t="shared" si="28"/>
        <v>0.49995832986082173</v>
      </c>
      <c r="M355" t="str">
        <f t="shared" si="29"/>
        <v>Sep-2025</v>
      </c>
    </row>
    <row r="356" spans="1:13" x14ac:dyDescent="0.3">
      <c r="A356" s="1">
        <v>45917</v>
      </c>
      <c r="B356" t="s">
        <v>37</v>
      </c>
      <c r="C356" t="s">
        <v>16</v>
      </c>
      <c r="D356" t="s">
        <v>33</v>
      </c>
      <c r="E356" t="s">
        <v>25</v>
      </c>
      <c r="F356">
        <v>1</v>
      </c>
      <c r="G356">
        <v>119.99</v>
      </c>
      <c r="H356">
        <v>60</v>
      </c>
      <c r="I356">
        <f t="shared" si="25"/>
        <v>119.99</v>
      </c>
      <c r="J356">
        <f t="shared" si="26"/>
        <v>60</v>
      </c>
      <c r="K356">
        <f t="shared" si="27"/>
        <v>59.989999999999995</v>
      </c>
      <c r="L356" s="2">
        <f t="shared" si="28"/>
        <v>0.49995832986082173</v>
      </c>
      <c r="M356" t="str">
        <f t="shared" si="29"/>
        <v>Sep-2025</v>
      </c>
    </row>
    <row r="357" spans="1:13" x14ac:dyDescent="0.3">
      <c r="A357" s="1">
        <v>45918</v>
      </c>
      <c r="B357" t="s">
        <v>27</v>
      </c>
      <c r="C357" t="s">
        <v>23</v>
      </c>
      <c r="D357" t="s">
        <v>34</v>
      </c>
      <c r="E357" t="s">
        <v>11</v>
      </c>
      <c r="F357">
        <v>8</v>
      </c>
      <c r="G357">
        <v>299.99</v>
      </c>
      <c r="H357">
        <v>160</v>
      </c>
      <c r="I357">
        <f t="shared" si="25"/>
        <v>2399.92</v>
      </c>
      <c r="J357">
        <f t="shared" si="26"/>
        <v>1280</v>
      </c>
      <c r="K357">
        <f t="shared" si="27"/>
        <v>1119.92</v>
      </c>
      <c r="L357" s="2">
        <f t="shared" si="28"/>
        <v>0.46664888829627654</v>
      </c>
      <c r="M357" t="str">
        <f t="shared" si="29"/>
        <v>Sep-2025</v>
      </c>
    </row>
    <row r="358" spans="1:13" x14ac:dyDescent="0.3">
      <c r="A358" s="1">
        <v>45919</v>
      </c>
      <c r="B358" t="s">
        <v>31</v>
      </c>
      <c r="C358" t="s">
        <v>32</v>
      </c>
      <c r="D358" t="s">
        <v>38</v>
      </c>
      <c r="E358" t="s">
        <v>11</v>
      </c>
      <c r="F358">
        <v>3</v>
      </c>
      <c r="G358">
        <v>850</v>
      </c>
      <c r="H358">
        <v>520</v>
      </c>
      <c r="I358">
        <f t="shared" si="25"/>
        <v>2550</v>
      </c>
      <c r="J358">
        <f t="shared" si="26"/>
        <v>1560</v>
      </c>
      <c r="K358">
        <f t="shared" si="27"/>
        <v>990</v>
      </c>
      <c r="L358" s="2">
        <f t="shared" si="28"/>
        <v>0.38823529411764707</v>
      </c>
      <c r="M358" t="str">
        <f t="shared" si="29"/>
        <v>Sep-2025</v>
      </c>
    </row>
    <row r="359" spans="1:13" x14ac:dyDescent="0.3">
      <c r="A359" s="1">
        <v>45920</v>
      </c>
      <c r="B359" t="s">
        <v>8</v>
      </c>
      <c r="C359" t="s">
        <v>9</v>
      </c>
      <c r="D359" t="s">
        <v>30</v>
      </c>
      <c r="E359" t="s">
        <v>21</v>
      </c>
      <c r="F359">
        <v>36</v>
      </c>
      <c r="G359">
        <v>89.99</v>
      </c>
      <c r="H359">
        <v>42</v>
      </c>
      <c r="I359">
        <f t="shared" si="25"/>
        <v>3239.64</v>
      </c>
      <c r="J359">
        <f t="shared" si="26"/>
        <v>1512</v>
      </c>
      <c r="K359">
        <f t="shared" si="27"/>
        <v>1727.6399999999999</v>
      </c>
      <c r="L359" s="2">
        <f t="shared" si="28"/>
        <v>0.53328147571952433</v>
      </c>
      <c r="M359" t="str">
        <f t="shared" si="29"/>
        <v>Sep-2025</v>
      </c>
    </row>
    <row r="360" spans="1:13" x14ac:dyDescent="0.3">
      <c r="A360" s="1">
        <v>45921</v>
      </c>
      <c r="B360" t="s">
        <v>31</v>
      </c>
      <c r="C360" t="s">
        <v>32</v>
      </c>
      <c r="D360" t="s">
        <v>17</v>
      </c>
      <c r="E360" t="s">
        <v>11</v>
      </c>
      <c r="F360">
        <v>3</v>
      </c>
      <c r="G360">
        <v>179.99</v>
      </c>
      <c r="H360">
        <v>95</v>
      </c>
      <c r="I360">
        <f t="shared" si="25"/>
        <v>539.97</v>
      </c>
      <c r="J360">
        <f t="shared" si="26"/>
        <v>285</v>
      </c>
      <c r="K360">
        <f t="shared" si="27"/>
        <v>254.97000000000003</v>
      </c>
      <c r="L360" s="2">
        <f t="shared" si="28"/>
        <v>0.47219289960553368</v>
      </c>
      <c r="M360" t="str">
        <f t="shared" si="29"/>
        <v>Sep-2025</v>
      </c>
    </row>
    <row r="361" spans="1:13" x14ac:dyDescent="0.3">
      <c r="A361" s="1">
        <v>45921</v>
      </c>
      <c r="B361" t="s">
        <v>31</v>
      </c>
      <c r="C361" t="s">
        <v>32</v>
      </c>
      <c r="D361" t="s">
        <v>20</v>
      </c>
      <c r="E361" t="s">
        <v>21</v>
      </c>
      <c r="F361">
        <v>42</v>
      </c>
      <c r="G361">
        <v>24.99</v>
      </c>
      <c r="H361">
        <v>10</v>
      </c>
      <c r="I361">
        <f t="shared" si="25"/>
        <v>1049.58</v>
      </c>
      <c r="J361">
        <f t="shared" si="26"/>
        <v>420</v>
      </c>
      <c r="K361">
        <f t="shared" si="27"/>
        <v>629.57999999999993</v>
      </c>
      <c r="L361" s="2">
        <f t="shared" si="28"/>
        <v>0.59983993597438978</v>
      </c>
      <c r="M361" t="str">
        <f t="shared" si="29"/>
        <v>Sep-2025</v>
      </c>
    </row>
    <row r="362" spans="1:13" x14ac:dyDescent="0.3">
      <c r="A362" s="1">
        <v>45921</v>
      </c>
      <c r="B362" t="s">
        <v>31</v>
      </c>
      <c r="C362" t="s">
        <v>32</v>
      </c>
      <c r="D362" t="s">
        <v>29</v>
      </c>
      <c r="E362" t="s">
        <v>14</v>
      </c>
      <c r="F362">
        <v>17</v>
      </c>
      <c r="G362">
        <v>49.99</v>
      </c>
      <c r="H362">
        <v>22</v>
      </c>
      <c r="I362">
        <f t="shared" si="25"/>
        <v>849.83</v>
      </c>
      <c r="J362">
        <f t="shared" si="26"/>
        <v>374</v>
      </c>
      <c r="K362">
        <f t="shared" si="27"/>
        <v>475.83000000000004</v>
      </c>
      <c r="L362" s="2">
        <f t="shared" si="28"/>
        <v>0.55991198239647932</v>
      </c>
      <c r="M362" t="str">
        <f t="shared" si="29"/>
        <v>Sep-2025</v>
      </c>
    </row>
    <row r="363" spans="1:13" x14ac:dyDescent="0.3">
      <c r="A363" s="1">
        <v>45921</v>
      </c>
      <c r="B363" t="s">
        <v>12</v>
      </c>
      <c r="C363" t="s">
        <v>9</v>
      </c>
      <c r="D363" t="s">
        <v>13</v>
      </c>
      <c r="E363" t="s">
        <v>14</v>
      </c>
      <c r="F363">
        <v>29</v>
      </c>
      <c r="G363">
        <v>34.99</v>
      </c>
      <c r="H363">
        <v>14</v>
      </c>
      <c r="I363">
        <f t="shared" si="25"/>
        <v>1014.71</v>
      </c>
      <c r="J363">
        <f t="shared" si="26"/>
        <v>406</v>
      </c>
      <c r="K363">
        <f t="shared" si="27"/>
        <v>608.71</v>
      </c>
      <c r="L363" s="2">
        <f t="shared" si="28"/>
        <v>0.59988568162332101</v>
      </c>
      <c r="M363" t="str">
        <f t="shared" si="29"/>
        <v>Sep-2025</v>
      </c>
    </row>
    <row r="364" spans="1:13" x14ac:dyDescent="0.3">
      <c r="A364" s="1">
        <v>45922</v>
      </c>
      <c r="B364" t="s">
        <v>12</v>
      </c>
      <c r="C364" t="s">
        <v>9</v>
      </c>
      <c r="D364" t="s">
        <v>17</v>
      </c>
      <c r="E364" t="s">
        <v>11</v>
      </c>
      <c r="F364">
        <v>9</v>
      </c>
      <c r="G364">
        <v>179.99</v>
      </c>
      <c r="H364">
        <v>95</v>
      </c>
      <c r="I364">
        <f t="shared" si="25"/>
        <v>1619.91</v>
      </c>
      <c r="J364">
        <f t="shared" si="26"/>
        <v>855</v>
      </c>
      <c r="K364">
        <f t="shared" si="27"/>
        <v>764.91000000000008</v>
      </c>
      <c r="L364" s="2">
        <f t="shared" si="28"/>
        <v>0.47219289960553368</v>
      </c>
      <c r="M364" t="str">
        <f t="shared" si="29"/>
        <v>Sep-2025</v>
      </c>
    </row>
    <row r="365" spans="1:13" x14ac:dyDescent="0.3">
      <c r="A365" s="1">
        <v>45924</v>
      </c>
      <c r="B365" t="s">
        <v>27</v>
      </c>
      <c r="C365" t="s">
        <v>23</v>
      </c>
      <c r="D365" t="s">
        <v>28</v>
      </c>
      <c r="E365" t="s">
        <v>21</v>
      </c>
      <c r="F365">
        <v>8</v>
      </c>
      <c r="G365">
        <v>79.989999999999995</v>
      </c>
      <c r="H365">
        <v>40</v>
      </c>
      <c r="I365">
        <f t="shared" si="25"/>
        <v>639.91999999999996</v>
      </c>
      <c r="J365">
        <f t="shared" si="26"/>
        <v>320</v>
      </c>
      <c r="K365">
        <f t="shared" si="27"/>
        <v>319.91999999999996</v>
      </c>
      <c r="L365" s="2">
        <f t="shared" si="28"/>
        <v>0.49993749218652328</v>
      </c>
      <c r="M365" t="str">
        <f t="shared" si="29"/>
        <v>Sep-2025</v>
      </c>
    </row>
    <row r="366" spans="1:13" x14ac:dyDescent="0.3">
      <c r="A366" s="1">
        <v>45925</v>
      </c>
      <c r="B366" t="s">
        <v>15</v>
      </c>
      <c r="C366" t="s">
        <v>16</v>
      </c>
      <c r="D366" t="s">
        <v>34</v>
      </c>
      <c r="E366" t="s">
        <v>11</v>
      </c>
      <c r="F366">
        <v>14</v>
      </c>
      <c r="G366">
        <v>299.99</v>
      </c>
      <c r="H366">
        <v>160</v>
      </c>
      <c r="I366">
        <f t="shared" si="25"/>
        <v>4199.8600000000006</v>
      </c>
      <c r="J366">
        <f t="shared" si="26"/>
        <v>2240</v>
      </c>
      <c r="K366">
        <f t="shared" si="27"/>
        <v>1959.8600000000006</v>
      </c>
      <c r="L366" s="2">
        <f t="shared" si="28"/>
        <v>0.4666488882962766</v>
      </c>
      <c r="M366" t="str">
        <f t="shared" si="29"/>
        <v>Sep-2025</v>
      </c>
    </row>
    <row r="367" spans="1:13" x14ac:dyDescent="0.3">
      <c r="A367" s="1">
        <v>45925</v>
      </c>
      <c r="B367" t="s">
        <v>31</v>
      </c>
      <c r="C367" t="s">
        <v>32</v>
      </c>
      <c r="D367" t="s">
        <v>20</v>
      </c>
      <c r="E367" t="s">
        <v>21</v>
      </c>
      <c r="F367">
        <v>41</v>
      </c>
      <c r="G367">
        <v>24.99</v>
      </c>
      <c r="H367">
        <v>10</v>
      </c>
      <c r="I367">
        <f t="shared" si="25"/>
        <v>1024.5899999999999</v>
      </c>
      <c r="J367">
        <f t="shared" si="26"/>
        <v>410</v>
      </c>
      <c r="K367">
        <f t="shared" si="27"/>
        <v>614.58999999999992</v>
      </c>
      <c r="L367" s="2">
        <f t="shared" si="28"/>
        <v>0.59983993597438967</v>
      </c>
      <c r="M367" t="str">
        <f t="shared" si="29"/>
        <v>Sep-2025</v>
      </c>
    </row>
    <row r="368" spans="1:13" x14ac:dyDescent="0.3">
      <c r="A368" s="1">
        <v>45926</v>
      </c>
      <c r="B368" t="s">
        <v>37</v>
      </c>
      <c r="C368" t="s">
        <v>16</v>
      </c>
      <c r="D368" t="s">
        <v>24</v>
      </c>
      <c r="E368" t="s">
        <v>25</v>
      </c>
      <c r="F368">
        <v>38</v>
      </c>
      <c r="G368">
        <v>29.99</v>
      </c>
      <c r="H368">
        <v>12</v>
      </c>
      <c r="I368">
        <f t="shared" si="25"/>
        <v>1139.6199999999999</v>
      </c>
      <c r="J368">
        <f t="shared" si="26"/>
        <v>456</v>
      </c>
      <c r="K368">
        <f t="shared" si="27"/>
        <v>683.61999999999989</v>
      </c>
      <c r="L368" s="2">
        <f t="shared" si="28"/>
        <v>0.59986662220740239</v>
      </c>
      <c r="M368" t="str">
        <f t="shared" si="29"/>
        <v>Sep-2025</v>
      </c>
    </row>
    <row r="369" spans="1:13" x14ac:dyDescent="0.3">
      <c r="A369" s="1">
        <v>45927</v>
      </c>
      <c r="B369" t="s">
        <v>15</v>
      </c>
      <c r="C369" t="s">
        <v>16</v>
      </c>
      <c r="D369" t="s">
        <v>10</v>
      </c>
      <c r="E369" t="s">
        <v>11</v>
      </c>
      <c r="F369">
        <v>3</v>
      </c>
      <c r="G369">
        <v>599.99</v>
      </c>
      <c r="H369">
        <v>360</v>
      </c>
      <c r="I369">
        <f t="shared" si="25"/>
        <v>1799.97</v>
      </c>
      <c r="J369">
        <f t="shared" si="26"/>
        <v>1080</v>
      </c>
      <c r="K369">
        <f t="shared" si="27"/>
        <v>719.97</v>
      </c>
      <c r="L369" s="2">
        <f t="shared" si="28"/>
        <v>0.39998999983333056</v>
      </c>
      <c r="M369" t="str">
        <f t="shared" si="29"/>
        <v>Sep-2025</v>
      </c>
    </row>
    <row r="370" spans="1:13" x14ac:dyDescent="0.3">
      <c r="A370" s="1">
        <v>45928</v>
      </c>
      <c r="B370" t="s">
        <v>37</v>
      </c>
      <c r="C370" t="s">
        <v>16</v>
      </c>
      <c r="D370" t="s">
        <v>26</v>
      </c>
      <c r="E370" t="s">
        <v>25</v>
      </c>
      <c r="F370">
        <v>1</v>
      </c>
      <c r="G370">
        <v>1250</v>
      </c>
      <c r="H370">
        <v>850</v>
      </c>
      <c r="I370">
        <f t="shared" si="25"/>
        <v>1250</v>
      </c>
      <c r="J370">
        <f t="shared" si="26"/>
        <v>850</v>
      </c>
      <c r="K370">
        <f t="shared" si="27"/>
        <v>400</v>
      </c>
      <c r="L370" s="2">
        <f t="shared" si="28"/>
        <v>0.32</v>
      </c>
      <c r="M370" t="str">
        <f t="shared" si="29"/>
        <v>Sep-2025</v>
      </c>
    </row>
    <row r="371" spans="1:13" x14ac:dyDescent="0.3">
      <c r="A371" s="1">
        <v>45928</v>
      </c>
      <c r="B371" t="s">
        <v>15</v>
      </c>
      <c r="C371" t="s">
        <v>16</v>
      </c>
      <c r="D371" t="s">
        <v>30</v>
      </c>
      <c r="E371" t="s">
        <v>21</v>
      </c>
      <c r="F371">
        <v>7</v>
      </c>
      <c r="G371">
        <v>89.99</v>
      </c>
      <c r="H371">
        <v>42</v>
      </c>
      <c r="I371">
        <f t="shared" si="25"/>
        <v>629.92999999999995</v>
      </c>
      <c r="J371">
        <f t="shared" si="26"/>
        <v>294</v>
      </c>
      <c r="K371">
        <f t="shared" si="27"/>
        <v>335.92999999999995</v>
      </c>
      <c r="L371" s="2">
        <f t="shared" si="28"/>
        <v>0.53328147571952433</v>
      </c>
      <c r="M371" t="str">
        <f t="shared" si="29"/>
        <v>Sep-2025</v>
      </c>
    </row>
    <row r="372" spans="1:13" x14ac:dyDescent="0.3">
      <c r="A372" s="1">
        <v>45928</v>
      </c>
      <c r="B372" t="s">
        <v>27</v>
      </c>
      <c r="C372" t="s">
        <v>23</v>
      </c>
      <c r="D372" t="s">
        <v>34</v>
      </c>
      <c r="E372" t="s">
        <v>11</v>
      </c>
      <c r="F372">
        <v>11</v>
      </c>
      <c r="G372">
        <v>299.99</v>
      </c>
      <c r="H372">
        <v>160</v>
      </c>
      <c r="I372">
        <f t="shared" si="25"/>
        <v>3299.8900000000003</v>
      </c>
      <c r="J372">
        <f t="shared" si="26"/>
        <v>1760</v>
      </c>
      <c r="K372">
        <f t="shared" si="27"/>
        <v>1539.8900000000003</v>
      </c>
      <c r="L372" s="2">
        <f t="shared" si="28"/>
        <v>0.4666488882962766</v>
      </c>
      <c r="M372" t="str">
        <f t="shared" si="29"/>
        <v>Sep-2025</v>
      </c>
    </row>
    <row r="373" spans="1:13" x14ac:dyDescent="0.3">
      <c r="A373" s="1">
        <v>45928</v>
      </c>
      <c r="B373" t="s">
        <v>31</v>
      </c>
      <c r="C373" t="s">
        <v>32</v>
      </c>
      <c r="D373" t="s">
        <v>13</v>
      </c>
      <c r="E373" t="s">
        <v>14</v>
      </c>
      <c r="F373">
        <v>32</v>
      </c>
      <c r="G373">
        <v>34.99</v>
      </c>
      <c r="H373">
        <v>14</v>
      </c>
      <c r="I373">
        <f t="shared" si="25"/>
        <v>1119.68</v>
      </c>
      <c r="J373">
        <f t="shared" si="26"/>
        <v>448</v>
      </c>
      <c r="K373">
        <f t="shared" si="27"/>
        <v>671.68000000000006</v>
      </c>
      <c r="L373" s="2">
        <f t="shared" si="28"/>
        <v>0.59988568162332101</v>
      </c>
      <c r="M373" t="str">
        <f t="shared" si="29"/>
        <v>Sep-2025</v>
      </c>
    </row>
    <row r="374" spans="1:13" x14ac:dyDescent="0.3">
      <c r="A374" s="1">
        <v>45929</v>
      </c>
      <c r="B374" t="s">
        <v>31</v>
      </c>
      <c r="C374" t="s">
        <v>32</v>
      </c>
      <c r="D374" t="s">
        <v>29</v>
      </c>
      <c r="E374" t="s">
        <v>14</v>
      </c>
      <c r="F374">
        <v>33</v>
      </c>
      <c r="G374">
        <v>49.99</v>
      </c>
      <c r="H374">
        <v>22</v>
      </c>
      <c r="I374">
        <f t="shared" si="25"/>
        <v>1649.67</v>
      </c>
      <c r="J374">
        <f t="shared" si="26"/>
        <v>726</v>
      </c>
      <c r="K374">
        <f t="shared" si="27"/>
        <v>923.67000000000007</v>
      </c>
      <c r="L374" s="2">
        <f t="shared" si="28"/>
        <v>0.55991198239647932</v>
      </c>
      <c r="M374" t="str">
        <f t="shared" si="29"/>
        <v>Sep-2025</v>
      </c>
    </row>
    <row r="375" spans="1:13" x14ac:dyDescent="0.3">
      <c r="A375" s="1">
        <v>45930</v>
      </c>
      <c r="B375" t="s">
        <v>18</v>
      </c>
      <c r="C375" t="s">
        <v>19</v>
      </c>
      <c r="D375" t="s">
        <v>13</v>
      </c>
      <c r="E375" t="s">
        <v>14</v>
      </c>
      <c r="F375">
        <v>13</v>
      </c>
      <c r="G375">
        <v>34.99</v>
      </c>
      <c r="H375">
        <v>14</v>
      </c>
      <c r="I375">
        <f t="shared" si="25"/>
        <v>454.87</v>
      </c>
      <c r="J375">
        <f t="shared" si="26"/>
        <v>182</v>
      </c>
      <c r="K375">
        <f t="shared" si="27"/>
        <v>272.87</v>
      </c>
      <c r="L375" s="2">
        <f t="shared" si="28"/>
        <v>0.5998856816233209</v>
      </c>
      <c r="M375" t="str">
        <f t="shared" si="29"/>
        <v>Sep-2025</v>
      </c>
    </row>
    <row r="376" spans="1:13" x14ac:dyDescent="0.3">
      <c r="A376" s="1">
        <v>45931</v>
      </c>
      <c r="B376" t="s">
        <v>37</v>
      </c>
      <c r="C376" t="s">
        <v>16</v>
      </c>
      <c r="D376" t="s">
        <v>13</v>
      </c>
      <c r="E376" t="s">
        <v>14</v>
      </c>
      <c r="F376">
        <v>7</v>
      </c>
      <c r="G376">
        <v>34.99</v>
      </c>
      <c r="H376">
        <v>14</v>
      </c>
      <c r="I376">
        <f t="shared" si="25"/>
        <v>244.93</v>
      </c>
      <c r="J376">
        <f t="shared" si="26"/>
        <v>98</v>
      </c>
      <c r="K376">
        <f t="shared" si="27"/>
        <v>146.93</v>
      </c>
      <c r="L376" s="2">
        <f t="shared" si="28"/>
        <v>0.59988568162332101</v>
      </c>
      <c r="M376" t="str">
        <f t="shared" si="29"/>
        <v>Oct-2025</v>
      </c>
    </row>
    <row r="377" spans="1:13" x14ac:dyDescent="0.3">
      <c r="A377" s="1">
        <v>45932</v>
      </c>
      <c r="B377" t="s">
        <v>15</v>
      </c>
      <c r="C377" t="s">
        <v>16</v>
      </c>
      <c r="D377" t="s">
        <v>35</v>
      </c>
      <c r="E377" t="s">
        <v>25</v>
      </c>
      <c r="F377">
        <v>9</v>
      </c>
      <c r="G377">
        <v>349.99</v>
      </c>
      <c r="H377">
        <v>210</v>
      </c>
      <c r="I377">
        <f t="shared" si="25"/>
        <v>3149.91</v>
      </c>
      <c r="J377">
        <f t="shared" si="26"/>
        <v>1890</v>
      </c>
      <c r="K377">
        <f t="shared" si="27"/>
        <v>1259.9099999999999</v>
      </c>
      <c r="L377" s="2">
        <f t="shared" si="28"/>
        <v>0.39998285665304723</v>
      </c>
      <c r="M377" t="str">
        <f t="shared" si="29"/>
        <v>Oct-2025</v>
      </c>
    </row>
    <row r="378" spans="1:13" x14ac:dyDescent="0.3">
      <c r="A378" s="1">
        <v>45934</v>
      </c>
      <c r="B378" t="s">
        <v>15</v>
      </c>
      <c r="C378" t="s">
        <v>16</v>
      </c>
      <c r="D378" t="s">
        <v>35</v>
      </c>
      <c r="E378" t="s">
        <v>25</v>
      </c>
      <c r="F378">
        <v>2</v>
      </c>
      <c r="G378">
        <v>349.99</v>
      </c>
      <c r="H378">
        <v>210</v>
      </c>
      <c r="I378">
        <f t="shared" si="25"/>
        <v>699.98</v>
      </c>
      <c r="J378">
        <f t="shared" si="26"/>
        <v>420</v>
      </c>
      <c r="K378">
        <f t="shared" si="27"/>
        <v>279.98</v>
      </c>
      <c r="L378" s="2">
        <f t="shared" si="28"/>
        <v>0.39998285665304723</v>
      </c>
      <c r="M378" t="str">
        <f t="shared" si="29"/>
        <v>Oct-2025</v>
      </c>
    </row>
    <row r="379" spans="1:13" x14ac:dyDescent="0.3">
      <c r="A379" s="1">
        <v>45934</v>
      </c>
      <c r="B379" t="s">
        <v>22</v>
      </c>
      <c r="C379" t="s">
        <v>23</v>
      </c>
      <c r="D379" t="s">
        <v>39</v>
      </c>
      <c r="E379" t="s">
        <v>25</v>
      </c>
      <c r="F379">
        <v>12</v>
      </c>
      <c r="G379">
        <v>149.99</v>
      </c>
      <c r="H379">
        <v>75</v>
      </c>
      <c r="I379">
        <f t="shared" si="25"/>
        <v>1799.88</v>
      </c>
      <c r="J379">
        <f t="shared" si="26"/>
        <v>900</v>
      </c>
      <c r="K379">
        <f t="shared" si="27"/>
        <v>899.88000000000011</v>
      </c>
      <c r="L379" s="2">
        <f t="shared" si="28"/>
        <v>0.49996666444429633</v>
      </c>
      <c r="M379" t="str">
        <f t="shared" si="29"/>
        <v>Oct-2025</v>
      </c>
    </row>
    <row r="380" spans="1:13" x14ac:dyDescent="0.3">
      <c r="A380" s="1">
        <v>45934</v>
      </c>
      <c r="B380" t="s">
        <v>22</v>
      </c>
      <c r="C380" t="s">
        <v>23</v>
      </c>
      <c r="D380" t="s">
        <v>34</v>
      </c>
      <c r="E380" t="s">
        <v>11</v>
      </c>
      <c r="F380">
        <v>10</v>
      </c>
      <c r="G380">
        <v>299.99</v>
      </c>
      <c r="H380">
        <v>160</v>
      </c>
      <c r="I380">
        <f t="shared" si="25"/>
        <v>2999.9</v>
      </c>
      <c r="J380">
        <f t="shared" si="26"/>
        <v>1600</v>
      </c>
      <c r="K380">
        <f t="shared" si="27"/>
        <v>1399.9</v>
      </c>
      <c r="L380" s="2">
        <f t="shared" si="28"/>
        <v>0.46664888829627654</v>
      </c>
      <c r="M380" t="str">
        <f t="shared" si="29"/>
        <v>Oct-2025</v>
      </c>
    </row>
    <row r="381" spans="1:13" x14ac:dyDescent="0.3">
      <c r="A381" s="1">
        <v>45935</v>
      </c>
      <c r="B381" t="s">
        <v>12</v>
      </c>
      <c r="C381" t="s">
        <v>9</v>
      </c>
      <c r="D381" t="s">
        <v>39</v>
      </c>
      <c r="E381" t="s">
        <v>25</v>
      </c>
      <c r="F381">
        <v>9</v>
      </c>
      <c r="G381">
        <v>149.99</v>
      </c>
      <c r="H381">
        <v>75</v>
      </c>
      <c r="I381">
        <f t="shared" si="25"/>
        <v>1349.91</v>
      </c>
      <c r="J381">
        <f t="shared" si="26"/>
        <v>675</v>
      </c>
      <c r="K381">
        <f t="shared" si="27"/>
        <v>674.91000000000008</v>
      </c>
      <c r="L381" s="2">
        <f t="shared" si="28"/>
        <v>0.49996666444429633</v>
      </c>
      <c r="M381" t="str">
        <f t="shared" si="29"/>
        <v>Oct-2025</v>
      </c>
    </row>
    <row r="382" spans="1:13" x14ac:dyDescent="0.3">
      <c r="A382" s="1">
        <v>45936</v>
      </c>
      <c r="B382" t="s">
        <v>18</v>
      </c>
      <c r="C382" t="s">
        <v>19</v>
      </c>
      <c r="D382" t="s">
        <v>34</v>
      </c>
      <c r="E382" t="s">
        <v>11</v>
      </c>
      <c r="F382">
        <v>8</v>
      </c>
      <c r="G382">
        <v>299.99</v>
      </c>
      <c r="H382">
        <v>160</v>
      </c>
      <c r="I382">
        <f t="shared" si="25"/>
        <v>2399.92</v>
      </c>
      <c r="J382">
        <f t="shared" si="26"/>
        <v>1280</v>
      </c>
      <c r="K382">
        <f t="shared" si="27"/>
        <v>1119.92</v>
      </c>
      <c r="L382" s="2">
        <f t="shared" si="28"/>
        <v>0.46664888829627654</v>
      </c>
      <c r="M382" t="str">
        <f t="shared" si="29"/>
        <v>Oct-2025</v>
      </c>
    </row>
    <row r="383" spans="1:13" x14ac:dyDescent="0.3">
      <c r="A383" s="1">
        <v>45937</v>
      </c>
      <c r="B383" t="s">
        <v>8</v>
      </c>
      <c r="C383" t="s">
        <v>9</v>
      </c>
      <c r="D383" t="s">
        <v>30</v>
      </c>
      <c r="E383" t="s">
        <v>21</v>
      </c>
      <c r="F383">
        <v>29</v>
      </c>
      <c r="G383">
        <v>89.99</v>
      </c>
      <c r="H383">
        <v>42</v>
      </c>
      <c r="I383">
        <f t="shared" si="25"/>
        <v>2609.71</v>
      </c>
      <c r="J383">
        <f t="shared" si="26"/>
        <v>1218</v>
      </c>
      <c r="K383">
        <f t="shared" si="27"/>
        <v>1391.71</v>
      </c>
      <c r="L383" s="2">
        <f t="shared" si="28"/>
        <v>0.53328147571952444</v>
      </c>
      <c r="M383" t="str">
        <f t="shared" si="29"/>
        <v>Oct-2025</v>
      </c>
    </row>
    <row r="384" spans="1:13" x14ac:dyDescent="0.3">
      <c r="A384" s="1">
        <v>45937</v>
      </c>
      <c r="B384" t="s">
        <v>22</v>
      </c>
      <c r="C384" t="s">
        <v>23</v>
      </c>
      <c r="D384" t="s">
        <v>17</v>
      </c>
      <c r="E384" t="s">
        <v>11</v>
      </c>
      <c r="F384">
        <v>5</v>
      </c>
      <c r="G384">
        <v>179.99</v>
      </c>
      <c r="H384">
        <v>95</v>
      </c>
      <c r="I384">
        <f t="shared" si="25"/>
        <v>899.95</v>
      </c>
      <c r="J384">
        <f t="shared" si="26"/>
        <v>475</v>
      </c>
      <c r="K384">
        <f t="shared" si="27"/>
        <v>424.95000000000005</v>
      </c>
      <c r="L384" s="2">
        <f t="shared" si="28"/>
        <v>0.47219289960553368</v>
      </c>
      <c r="M384" t="str">
        <f t="shared" si="29"/>
        <v>Oct-2025</v>
      </c>
    </row>
    <row r="385" spans="1:13" x14ac:dyDescent="0.3">
      <c r="A385" s="1">
        <v>45937</v>
      </c>
      <c r="B385" t="s">
        <v>8</v>
      </c>
      <c r="C385" t="s">
        <v>9</v>
      </c>
      <c r="D385" t="s">
        <v>26</v>
      </c>
      <c r="E385" t="s">
        <v>25</v>
      </c>
      <c r="F385">
        <v>3</v>
      </c>
      <c r="G385">
        <v>1250</v>
      </c>
      <c r="H385">
        <v>850</v>
      </c>
      <c r="I385">
        <f t="shared" si="25"/>
        <v>3750</v>
      </c>
      <c r="J385">
        <f t="shared" si="26"/>
        <v>2550</v>
      </c>
      <c r="K385">
        <f t="shared" si="27"/>
        <v>1200</v>
      </c>
      <c r="L385" s="2">
        <f t="shared" si="28"/>
        <v>0.32</v>
      </c>
      <c r="M385" t="str">
        <f t="shared" si="29"/>
        <v>Oct-2025</v>
      </c>
    </row>
    <row r="386" spans="1:13" x14ac:dyDescent="0.3">
      <c r="A386" s="1">
        <v>45937</v>
      </c>
      <c r="B386" t="s">
        <v>12</v>
      </c>
      <c r="C386" t="s">
        <v>9</v>
      </c>
      <c r="D386" t="s">
        <v>13</v>
      </c>
      <c r="E386" t="s">
        <v>14</v>
      </c>
      <c r="F386">
        <v>38</v>
      </c>
      <c r="G386">
        <v>34.99</v>
      </c>
      <c r="H386">
        <v>14</v>
      </c>
      <c r="I386">
        <f t="shared" si="25"/>
        <v>1329.6200000000001</v>
      </c>
      <c r="J386">
        <f t="shared" si="26"/>
        <v>532</v>
      </c>
      <c r="K386">
        <f t="shared" si="27"/>
        <v>797.62000000000012</v>
      </c>
      <c r="L386" s="2">
        <f t="shared" si="28"/>
        <v>0.59988568162332101</v>
      </c>
      <c r="M386" t="str">
        <f t="shared" si="29"/>
        <v>Oct-2025</v>
      </c>
    </row>
    <row r="387" spans="1:13" x14ac:dyDescent="0.3">
      <c r="A387" s="1">
        <v>45937</v>
      </c>
      <c r="B387" t="s">
        <v>12</v>
      </c>
      <c r="C387" t="s">
        <v>9</v>
      </c>
      <c r="D387" t="s">
        <v>30</v>
      </c>
      <c r="E387" t="s">
        <v>21</v>
      </c>
      <c r="F387">
        <v>28</v>
      </c>
      <c r="G387">
        <v>89.99</v>
      </c>
      <c r="H387">
        <v>42</v>
      </c>
      <c r="I387">
        <f t="shared" ref="I387:I450" si="30">F387*G387</f>
        <v>2519.7199999999998</v>
      </c>
      <c r="J387">
        <f t="shared" ref="J387:J450" si="31">F387*H387</f>
        <v>1176</v>
      </c>
      <c r="K387">
        <f t="shared" ref="K387:K450" si="32">I387-J387</f>
        <v>1343.7199999999998</v>
      </c>
      <c r="L387" s="2">
        <f t="shared" ref="L387:L450" si="33">K387/I387</f>
        <v>0.53328147571952433</v>
      </c>
      <c r="M387" t="str">
        <f t="shared" ref="M387:M450" si="34">TEXT(A387,"mmm-yyyy")</f>
        <v>Oct-2025</v>
      </c>
    </row>
    <row r="388" spans="1:13" x14ac:dyDescent="0.3">
      <c r="A388" s="1">
        <v>45938</v>
      </c>
      <c r="B388" t="s">
        <v>12</v>
      </c>
      <c r="C388" t="s">
        <v>9</v>
      </c>
      <c r="D388" t="s">
        <v>17</v>
      </c>
      <c r="E388" t="s">
        <v>11</v>
      </c>
      <c r="F388">
        <v>12</v>
      </c>
      <c r="G388">
        <v>179.99</v>
      </c>
      <c r="H388">
        <v>95</v>
      </c>
      <c r="I388">
        <f t="shared" si="30"/>
        <v>2159.88</v>
      </c>
      <c r="J388">
        <f t="shared" si="31"/>
        <v>1140</v>
      </c>
      <c r="K388">
        <f t="shared" si="32"/>
        <v>1019.8800000000001</v>
      </c>
      <c r="L388" s="2">
        <f t="shared" si="33"/>
        <v>0.47219289960553368</v>
      </c>
      <c r="M388" t="str">
        <f t="shared" si="34"/>
        <v>Oct-2025</v>
      </c>
    </row>
    <row r="389" spans="1:13" x14ac:dyDescent="0.3">
      <c r="A389" s="1">
        <v>45940</v>
      </c>
      <c r="B389" t="s">
        <v>37</v>
      </c>
      <c r="C389" t="s">
        <v>16</v>
      </c>
      <c r="D389" t="s">
        <v>10</v>
      </c>
      <c r="E389" t="s">
        <v>11</v>
      </c>
      <c r="F389">
        <v>3</v>
      </c>
      <c r="G389">
        <v>599.99</v>
      </c>
      <c r="H389">
        <v>360</v>
      </c>
      <c r="I389">
        <f t="shared" si="30"/>
        <v>1799.97</v>
      </c>
      <c r="J389">
        <f t="shared" si="31"/>
        <v>1080</v>
      </c>
      <c r="K389">
        <f t="shared" si="32"/>
        <v>719.97</v>
      </c>
      <c r="L389" s="2">
        <f t="shared" si="33"/>
        <v>0.39998999983333056</v>
      </c>
      <c r="M389" t="str">
        <f t="shared" si="34"/>
        <v>Oct-2025</v>
      </c>
    </row>
    <row r="390" spans="1:13" x14ac:dyDescent="0.3">
      <c r="A390" s="1">
        <v>45940</v>
      </c>
      <c r="B390" t="s">
        <v>37</v>
      </c>
      <c r="C390" t="s">
        <v>16</v>
      </c>
      <c r="D390" t="s">
        <v>33</v>
      </c>
      <c r="E390" t="s">
        <v>25</v>
      </c>
      <c r="F390">
        <v>5</v>
      </c>
      <c r="G390">
        <v>119.99</v>
      </c>
      <c r="H390">
        <v>60</v>
      </c>
      <c r="I390">
        <f t="shared" si="30"/>
        <v>599.94999999999993</v>
      </c>
      <c r="J390">
        <f t="shared" si="31"/>
        <v>300</v>
      </c>
      <c r="K390">
        <f t="shared" si="32"/>
        <v>299.94999999999993</v>
      </c>
      <c r="L390" s="2">
        <f t="shared" si="33"/>
        <v>0.49995832986082167</v>
      </c>
      <c r="M390" t="str">
        <f t="shared" si="34"/>
        <v>Oct-2025</v>
      </c>
    </row>
    <row r="391" spans="1:13" x14ac:dyDescent="0.3">
      <c r="A391" s="1">
        <v>45940</v>
      </c>
      <c r="B391" t="s">
        <v>27</v>
      </c>
      <c r="C391" t="s">
        <v>23</v>
      </c>
      <c r="D391" t="s">
        <v>36</v>
      </c>
      <c r="E391" t="s">
        <v>25</v>
      </c>
      <c r="F391">
        <v>30</v>
      </c>
      <c r="G391">
        <v>89.99</v>
      </c>
      <c r="H391">
        <v>45</v>
      </c>
      <c r="I391">
        <f t="shared" si="30"/>
        <v>2699.7</v>
      </c>
      <c r="J391">
        <f t="shared" si="31"/>
        <v>1350</v>
      </c>
      <c r="K391">
        <f t="shared" si="32"/>
        <v>1349.6999999999998</v>
      </c>
      <c r="L391" s="2">
        <f t="shared" si="33"/>
        <v>0.49994443827091894</v>
      </c>
      <c r="M391" t="str">
        <f t="shared" si="34"/>
        <v>Oct-2025</v>
      </c>
    </row>
    <row r="392" spans="1:13" x14ac:dyDescent="0.3">
      <c r="A392" s="1">
        <v>45941</v>
      </c>
      <c r="B392" t="s">
        <v>27</v>
      </c>
      <c r="C392" t="s">
        <v>23</v>
      </c>
      <c r="D392" t="s">
        <v>28</v>
      </c>
      <c r="E392" t="s">
        <v>21</v>
      </c>
      <c r="F392">
        <v>22</v>
      </c>
      <c r="G392">
        <v>79.989999999999995</v>
      </c>
      <c r="H392">
        <v>40</v>
      </c>
      <c r="I392">
        <f t="shared" si="30"/>
        <v>1759.78</v>
      </c>
      <c r="J392">
        <f t="shared" si="31"/>
        <v>880</v>
      </c>
      <c r="K392">
        <f t="shared" si="32"/>
        <v>879.78</v>
      </c>
      <c r="L392" s="2">
        <f t="shared" si="33"/>
        <v>0.49993749218652328</v>
      </c>
      <c r="M392" t="str">
        <f t="shared" si="34"/>
        <v>Oct-2025</v>
      </c>
    </row>
    <row r="393" spans="1:13" x14ac:dyDescent="0.3">
      <c r="A393" s="1">
        <v>45941</v>
      </c>
      <c r="B393" t="s">
        <v>12</v>
      </c>
      <c r="C393" t="s">
        <v>9</v>
      </c>
      <c r="D393" t="s">
        <v>20</v>
      </c>
      <c r="E393" t="s">
        <v>21</v>
      </c>
      <c r="F393">
        <v>10</v>
      </c>
      <c r="G393">
        <v>24.99</v>
      </c>
      <c r="H393">
        <v>10</v>
      </c>
      <c r="I393">
        <f t="shared" si="30"/>
        <v>249.89999999999998</v>
      </c>
      <c r="J393">
        <f t="shared" si="31"/>
        <v>100</v>
      </c>
      <c r="K393">
        <f t="shared" si="32"/>
        <v>149.89999999999998</v>
      </c>
      <c r="L393" s="2">
        <f t="shared" si="33"/>
        <v>0.59983993597438967</v>
      </c>
      <c r="M393" t="str">
        <f t="shared" si="34"/>
        <v>Oct-2025</v>
      </c>
    </row>
    <row r="394" spans="1:13" x14ac:dyDescent="0.3">
      <c r="A394" s="1">
        <v>45941</v>
      </c>
      <c r="B394" t="s">
        <v>18</v>
      </c>
      <c r="C394" t="s">
        <v>19</v>
      </c>
      <c r="D394" t="s">
        <v>34</v>
      </c>
      <c r="E394" t="s">
        <v>11</v>
      </c>
      <c r="F394">
        <v>5</v>
      </c>
      <c r="G394">
        <v>299.99</v>
      </c>
      <c r="H394">
        <v>160</v>
      </c>
      <c r="I394">
        <f t="shared" si="30"/>
        <v>1499.95</v>
      </c>
      <c r="J394">
        <f t="shared" si="31"/>
        <v>800</v>
      </c>
      <c r="K394">
        <f t="shared" si="32"/>
        <v>699.95</v>
      </c>
      <c r="L394" s="2">
        <f t="shared" si="33"/>
        <v>0.46664888829627654</v>
      </c>
      <c r="M394" t="str">
        <f t="shared" si="34"/>
        <v>Oct-2025</v>
      </c>
    </row>
    <row r="395" spans="1:13" x14ac:dyDescent="0.3">
      <c r="A395" s="1">
        <v>45942</v>
      </c>
      <c r="B395" t="s">
        <v>15</v>
      </c>
      <c r="C395" t="s">
        <v>16</v>
      </c>
      <c r="D395" t="s">
        <v>10</v>
      </c>
      <c r="E395" t="s">
        <v>11</v>
      </c>
      <c r="F395">
        <v>4</v>
      </c>
      <c r="G395">
        <v>599.99</v>
      </c>
      <c r="H395">
        <v>360</v>
      </c>
      <c r="I395">
        <f t="shared" si="30"/>
        <v>2399.96</v>
      </c>
      <c r="J395">
        <f t="shared" si="31"/>
        <v>1440</v>
      </c>
      <c r="K395">
        <f t="shared" si="32"/>
        <v>959.96</v>
      </c>
      <c r="L395" s="2">
        <f t="shared" si="33"/>
        <v>0.39998999983333056</v>
      </c>
      <c r="M395" t="str">
        <f t="shared" si="34"/>
        <v>Oct-2025</v>
      </c>
    </row>
    <row r="396" spans="1:13" x14ac:dyDescent="0.3">
      <c r="A396" s="1">
        <v>45943</v>
      </c>
      <c r="B396" t="s">
        <v>37</v>
      </c>
      <c r="C396" t="s">
        <v>16</v>
      </c>
      <c r="D396" t="s">
        <v>33</v>
      </c>
      <c r="E396" t="s">
        <v>25</v>
      </c>
      <c r="F396">
        <v>13</v>
      </c>
      <c r="G396">
        <v>119.99</v>
      </c>
      <c r="H396">
        <v>60</v>
      </c>
      <c r="I396">
        <f t="shared" si="30"/>
        <v>1559.87</v>
      </c>
      <c r="J396">
        <f t="shared" si="31"/>
        <v>780</v>
      </c>
      <c r="K396">
        <f t="shared" si="32"/>
        <v>779.86999999999989</v>
      </c>
      <c r="L396" s="2">
        <f t="shared" si="33"/>
        <v>0.49995832986082173</v>
      </c>
      <c r="M396" t="str">
        <f t="shared" si="34"/>
        <v>Oct-2025</v>
      </c>
    </row>
    <row r="397" spans="1:13" x14ac:dyDescent="0.3">
      <c r="A397" s="1">
        <v>45943</v>
      </c>
      <c r="B397" t="s">
        <v>18</v>
      </c>
      <c r="C397" t="s">
        <v>19</v>
      </c>
      <c r="D397" t="s">
        <v>29</v>
      </c>
      <c r="E397" t="s">
        <v>14</v>
      </c>
      <c r="F397">
        <v>32</v>
      </c>
      <c r="G397">
        <v>49.99</v>
      </c>
      <c r="H397">
        <v>22</v>
      </c>
      <c r="I397">
        <f t="shared" si="30"/>
        <v>1599.68</v>
      </c>
      <c r="J397">
        <f t="shared" si="31"/>
        <v>704</v>
      </c>
      <c r="K397">
        <f t="shared" si="32"/>
        <v>895.68000000000006</v>
      </c>
      <c r="L397" s="2">
        <f t="shared" si="33"/>
        <v>0.55991198239647932</v>
      </c>
      <c r="M397" t="str">
        <f t="shared" si="34"/>
        <v>Oct-2025</v>
      </c>
    </row>
    <row r="398" spans="1:13" x14ac:dyDescent="0.3">
      <c r="A398" s="1">
        <v>45945</v>
      </c>
      <c r="B398" t="s">
        <v>31</v>
      </c>
      <c r="C398" t="s">
        <v>32</v>
      </c>
      <c r="D398" t="s">
        <v>38</v>
      </c>
      <c r="E398" t="s">
        <v>11</v>
      </c>
      <c r="F398">
        <v>5</v>
      </c>
      <c r="G398">
        <v>850</v>
      </c>
      <c r="H398">
        <v>520</v>
      </c>
      <c r="I398">
        <f t="shared" si="30"/>
        <v>4250</v>
      </c>
      <c r="J398">
        <f t="shared" si="31"/>
        <v>2600</v>
      </c>
      <c r="K398">
        <f t="shared" si="32"/>
        <v>1650</v>
      </c>
      <c r="L398" s="2">
        <f t="shared" si="33"/>
        <v>0.38823529411764707</v>
      </c>
      <c r="M398" t="str">
        <f t="shared" si="34"/>
        <v>Oct-2025</v>
      </c>
    </row>
    <row r="399" spans="1:13" x14ac:dyDescent="0.3">
      <c r="A399" s="1">
        <v>45945</v>
      </c>
      <c r="B399" t="s">
        <v>37</v>
      </c>
      <c r="C399" t="s">
        <v>16</v>
      </c>
      <c r="D399" t="s">
        <v>26</v>
      </c>
      <c r="E399" t="s">
        <v>25</v>
      </c>
      <c r="F399">
        <v>5</v>
      </c>
      <c r="G399">
        <v>1250</v>
      </c>
      <c r="H399">
        <v>850</v>
      </c>
      <c r="I399">
        <f t="shared" si="30"/>
        <v>6250</v>
      </c>
      <c r="J399">
        <f t="shared" si="31"/>
        <v>4250</v>
      </c>
      <c r="K399">
        <f t="shared" si="32"/>
        <v>2000</v>
      </c>
      <c r="L399" s="2">
        <f t="shared" si="33"/>
        <v>0.32</v>
      </c>
      <c r="M399" t="str">
        <f t="shared" si="34"/>
        <v>Oct-2025</v>
      </c>
    </row>
    <row r="400" spans="1:13" x14ac:dyDescent="0.3">
      <c r="A400" s="1">
        <v>45946</v>
      </c>
      <c r="B400" t="s">
        <v>37</v>
      </c>
      <c r="C400" t="s">
        <v>16</v>
      </c>
      <c r="D400" t="s">
        <v>20</v>
      </c>
      <c r="E400" t="s">
        <v>21</v>
      </c>
      <c r="F400">
        <v>21</v>
      </c>
      <c r="G400">
        <v>24.99</v>
      </c>
      <c r="H400">
        <v>10</v>
      </c>
      <c r="I400">
        <f t="shared" si="30"/>
        <v>524.79</v>
      </c>
      <c r="J400">
        <f t="shared" si="31"/>
        <v>210</v>
      </c>
      <c r="K400">
        <f t="shared" si="32"/>
        <v>314.78999999999996</v>
      </c>
      <c r="L400" s="2">
        <f t="shared" si="33"/>
        <v>0.59983993597438978</v>
      </c>
      <c r="M400" t="str">
        <f t="shared" si="34"/>
        <v>Oct-2025</v>
      </c>
    </row>
    <row r="401" spans="1:13" x14ac:dyDescent="0.3">
      <c r="A401" s="1">
        <v>45946</v>
      </c>
      <c r="B401" t="s">
        <v>27</v>
      </c>
      <c r="C401" t="s">
        <v>23</v>
      </c>
      <c r="D401" t="s">
        <v>39</v>
      </c>
      <c r="E401" t="s">
        <v>25</v>
      </c>
      <c r="F401">
        <v>2</v>
      </c>
      <c r="G401">
        <v>149.99</v>
      </c>
      <c r="H401">
        <v>75</v>
      </c>
      <c r="I401">
        <f t="shared" si="30"/>
        <v>299.98</v>
      </c>
      <c r="J401">
        <f t="shared" si="31"/>
        <v>150</v>
      </c>
      <c r="K401">
        <f t="shared" si="32"/>
        <v>149.98000000000002</v>
      </c>
      <c r="L401" s="2">
        <f t="shared" si="33"/>
        <v>0.49996666444429633</v>
      </c>
      <c r="M401" t="str">
        <f t="shared" si="34"/>
        <v>Oct-2025</v>
      </c>
    </row>
    <row r="402" spans="1:13" x14ac:dyDescent="0.3">
      <c r="A402" s="1">
        <v>45946</v>
      </c>
      <c r="B402" t="s">
        <v>15</v>
      </c>
      <c r="C402" t="s">
        <v>16</v>
      </c>
      <c r="D402" t="s">
        <v>39</v>
      </c>
      <c r="E402" t="s">
        <v>25</v>
      </c>
      <c r="F402">
        <v>8</v>
      </c>
      <c r="G402">
        <v>149.99</v>
      </c>
      <c r="H402">
        <v>75</v>
      </c>
      <c r="I402">
        <f t="shared" si="30"/>
        <v>1199.92</v>
      </c>
      <c r="J402">
        <f t="shared" si="31"/>
        <v>600</v>
      </c>
      <c r="K402">
        <f t="shared" si="32"/>
        <v>599.92000000000007</v>
      </c>
      <c r="L402" s="2">
        <f t="shared" si="33"/>
        <v>0.49996666444429633</v>
      </c>
      <c r="M402" t="str">
        <f t="shared" si="34"/>
        <v>Oct-2025</v>
      </c>
    </row>
    <row r="403" spans="1:13" x14ac:dyDescent="0.3">
      <c r="A403" s="1">
        <v>45947</v>
      </c>
      <c r="B403" t="s">
        <v>15</v>
      </c>
      <c r="C403" t="s">
        <v>16</v>
      </c>
      <c r="D403" t="s">
        <v>17</v>
      </c>
      <c r="E403" t="s">
        <v>11</v>
      </c>
      <c r="F403">
        <v>13</v>
      </c>
      <c r="G403">
        <v>179.99</v>
      </c>
      <c r="H403">
        <v>95</v>
      </c>
      <c r="I403">
        <f t="shared" si="30"/>
        <v>2339.87</v>
      </c>
      <c r="J403">
        <f t="shared" si="31"/>
        <v>1235</v>
      </c>
      <c r="K403">
        <f t="shared" si="32"/>
        <v>1104.8699999999999</v>
      </c>
      <c r="L403" s="2">
        <f t="shared" si="33"/>
        <v>0.47219289960553362</v>
      </c>
      <c r="M403" t="str">
        <f t="shared" si="34"/>
        <v>Oct-2025</v>
      </c>
    </row>
    <row r="404" spans="1:13" x14ac:dyDescent="0.3">
      <c r="A404" s="1">
        <v>45947</v>
      </c>
      <c r="B404" t="s">
        <v>22</v>
      </c>
      <c r="C404" t="s">
        <v>23</v>
      </c>
      <c r="D404" t="s">
        <v>20</v>
      </c>
      <c r="E404" t="s">
        <v>21</v>
      </c>
      <c r="F404">
        <v>36</v>
      </c>
      <c r="G404">
        <v>24.99</v>
      </c>
      <c r="H404">
        <v>10</v>
      </c>
      <c r="I404">
        <f t="shared" si="30"/>
        <v>899.64</v>
      </c>
      <c r="J404">
        <f t="shared" si="31"/>
        <v>360</v>
      </c>
      <c r="K404">
        <f t="shared" si="32"/>
        <v>539.64</v>
      </c>
      <c r="L404" s="2">
        <f t="shared" si="33"/>
        <v>0.59983993597438978</v>
      </c>
      <c r="M404" t="str">
        <f t="shared" si="34"/>
        <v>Oct-2025</v>
      </c>
    </row>
    <row r="405" spans="1:13" x14ac:dyDescent="0.3">
      <c r="A405" s="1">
        <v>45950</v>
      </c>
      <c r="B405" t="s">
        <v>8</v>
      </c>
      <c r="C405" t="s">
        <v>9</v>
      </c>
      <c r="D405" t="s">
        <v>35</v>
      </c>
      <c r="E405" t="s">
        <v>25</v>
      </c>
      <c r="F405">
        <v>14</v>
      </c>
      <c r="G405">
        <v>349.99</v>
      </c>
      <c r="H405">
        <v>210</v>
      </c>
      <c r="I405">
        <f t="shared" si="30"/>
        <v>4899.8600000000006</v>
      </c>
      <c r="J405">
        <f t="shared" si="31"/>
        <v>2940</v>
      </c>
      <c r="K405">
        <f t="shared" si="32"/>
        <v>1959.8600000000006</v>
      </c>
      <c r="L405" s="2">
        <f t="shared" si="33"/>
        <v>0.39998285665304728</v>
      </c>
      <c r="M405" t="str">
        <f t="shared" si="34"/>
        <v>Oct-2025</v>
      </c>
    </row>
    <row r="406" spans="1:13" x14ac:dyDescent="0.3">
      <c r="A406" s="1">
        <v>45951</v>
      </c>
      <c r="B406" t="s">
        <v>8</v>
      </c>
      <c r="C406" t="s">
        <v>9</v>
      </c>
      <c r="D406" t="s">
        <v>33</v>
      </c>
      <c r="E406" t="s">
        <v>25</v>
      </c>
      <c r="F406">
        <v>13</v>
      </c>
      <c r="G406">
        <v>119.99</v>
      </c>
      <c r="H406">
        <v>60</v>
      </c>
      <c r="I406">
        <f t="shared" si="30"/>
        <v>1559.87</v>
      </c>
      <c r="J406">
        <f t="shared" si="31"/>
        <v>780</v>
      </c>
      <c r="K406">
        <f t="shared" si="32"/>
        <v>779.86999999999989</v>
      </c>
      <c r="L406" s="2">
        <f t="shared" si="33"/>
        <v>0.49995832986082173</v>
      </c>
      <c r="M406" t="str">
        <f t="shared" si="34"/>
        <v>Oct-2025</v>
      </c>
    </row>
    <row r="407" spans="1:13" x14ac:dyDescent="0.3">
      <c r="A407" s="1">
        <v>45951</v>
      </c>
      <c r="B407" t="s">
        <v>8</v>
      </c>
      <c r="C407" t="s">
        <v>9</v>
      </c>
      <c r="D407" t="s">
        <v>38</v>
      </c>
      <c r="E407" t="s">
        <v>11</v>
      </c>
      <c r="F407">
        <v>3</v>
      </c>
      <c r="G407">
        <v>850</v>
      </c>
      <c r="H407">
        <v>520</v>
      </c>
      <c r="I407">
        <f t="shared" si="30"/>
        <v>2550</v>
      </c>
      <c r="J407">
        <f t="shared" si="31"/>
        <v>1560</v>
      </c>
      <c r="K407">
        <f t="shared" si="32"/>
        <v>990</v>
      </c>
      <c r="L407" s="2">
        <f t="shared" si="33"/>
        <v>0.38823529411764707</v>
      </c>
      <c r="M407" t="str">
        <f t="shared" si="34"/>
        <v>Oct-2025</v>
      </c>
    </row>
    <row r="408" spans="1:13" x14ac:dyDescent="0.3">
      <c r="A408" s="1">
        <v>45952</v>
      </c>
      <c r="B408" t="s">
        <v>8</v>
      </c>
      <c r="C408" t="s">
        <v>9</v>
      </c>
      <c r="D408" t="s">
        <v>10</v>
      </c>
      <c r="E408" t="s">
        <v>11</v>
      </c>
      <c r="F408">
        <v>2</v>
      </c>
      <c r="G408">
        <v>599.99</v>
      </c>
      <c r="H408">
        <v>360</v>
      </c>
      <c r="I408">
        <f t="shared" si="30"/>
        <v>1199.98</v>
      </c>
      <c r="J408">
        <f t="shared" si="31"/>
        <v>720</v>
      </c>
      <c r="K408">
        <f t="shared" si="32"/>
        <v>479.98</v>
      </c>
      <c r="L408" s="2">
        <f t="shared" si="33"/>
        <v>0.39998999983333056</v>
      </c>
      <c r="M408" t="str">
        <f t="shared" si="34"/>
        <v>Oct-2025</v>
      </c>
    </row>
    <row r="409" spans="1:13" x14ac:dyDescent="0.3">
      <c r="A409" s="1">
        <v>45953</v>
      </c>
      <c r="B409" t="s">
        <v>31</v>
      </c>
      <c r="C409" t="s">
        <v>32</v>
      </c>
      <c r="D409" t="s">
        <v>26</v>
      </c>
      <c r="E409" t="s">
        <v>25</v>
      </c>
      <c r="F409">
        <v>3</v>
      </c>
      <c r="G409">
        <v>1250</v>
      </c>
      <c r="H409">
        <v>850</v>
      </c>
      <c r="I409">
        <f t="shared" si="30"/>
        <v>3750</v>
      </c>
      <c r="J409">
        <f t="shared" si="31"/>
        <v>2550</v>
      </c>
      <c r="K409">
        <f t="shared" si="32"/>
        <v>1200</v>
      </c>
      <c r="L409" s="2">
        <f t="shared" si="33"/>
        <v>0.32</v>
      </c>
      <c r="M409" t="str">
        <f t="shared" si="34"/>
        <v>Oct-2025</v>
      </c>
    </row>
    <row r="410" spans="1:13" x14ac:dyDescent="0.3">
      <c r="A410" s="1">
        <v>45955</v>
      </c>
      <c r="B410" t="s">
        <v>31</v>
      </c>
      <c r="C410" t="s">
        <v>32</v>
      </c>
      <c r="D410" t="s">
        <v>30</v>
      </c>
      <c r="E410" t="s">
        <v>21</v>
      </c>
      <c r="F410">
        <v>44</v>
      </c>
      <c r="G410">
        <v>89.99</v>
      </c>
      <c r="H410">
        <v>42</v>
      </c>
      <c r="I410">
        <f t="shared" si="30"/>
        <v>3959.56</v>
      </c>
      <c r="J410">
        <f t="shared" si="31"/>
        <v>1848</v>
      </c>
      <c r="K410">
        <f t="shared" si="32"/>
        <v>2111.56</v>
      </c>
      <c r="L410" s="2">
        <f t="shared" si="33"/>
        <v>0.53328147571952433</v>
      </c>
      <c r="M410" t="str">
        <f t="shared" si="34"/>
        <v>Oct-2025</v>
      </c>
    </row>
    <row r="411" spans="1:13" x14ac:dyDescent="0.3">
      <c r="A411" s="1">
        <v>45956</v>
      </c>
      <c r="B411" t="s">
        <v>37</v>
      </c>
      <c r="C411" t="s">
        <v>16</v>
      </c>
      <c r="D411" t="s">
        <v>33</v>
      </c>
      <c r="E411" t="s">
        <v>25</v>
      </c>
      <c r="F411">
        <v>2</v>
      </c>
      <c r="G411">
        <v>119.99</v>
      </c>
      <c r="H411">
        <v>60</v>
      </c>
      <c r="I411">
        <f t="shared" si="30"/>
        <v>239.98</v>
      </c>
      <c r="J411">
        <f t="shared" si="31"/>
        <v>120</v>
      </c>
      <c r="K411">
        <f t="shared" si="32"/>
        <v>119.97999999999999</v>
      </c>
      <c r="L411" s="2">
        <f t="shared" si="33"/>
        <v>0.49995832986082173</v>
      </c>
      <c r="M411" t="str">
        <f t="shared" si="34"/>
        <v>Oct-2025</v>
      </c>
    </row>
    <row r="412" spans="1:13" x14ac:dyDescent="0.3">
      <c r="A412" s="1">
        <v>45958</v>
      </c>
      <c r="B412" t="s">
        <v>12</v>
      </c>
      <c r="C412" t="s">
        <v>9</v>
      </c>
      <c r="D412" t="s">
        <v>38</v>
      </c>
      <c r="E412" t="s">
        <v>11</v>
      </c>
      <c r="F412">
        <v>3</v>
      </c>
      <c r="G412">
        <v>850</v>
      </c>
      <c r="H412">
        <v>520</v>
      </c>
      <c r="I412">
        <f t="shared" si="30"/>
        <v>2550</v>
      </c>
      <c r="J412">
        <f t="shared" si="31"/>
        <v>1560</v>
      </c>
      <c r="K412">
        <f t="shared" si="32"/>
        <v>990</v>
      </c>
      <c r="L412" s="2">
        <f t="shared" si="33"/>
        <v>0.38823529411764707</v>
      </c>
      <c r="M412" t="str">
        <f t="shared" si="34"/>
        <v>Oct-2025</v>
      </c>
    </row>
    <row r="413" spans="1:13" x14ac:dyDescent="0.3">
      <c r="A413" s="1">
        <v>45959</v>
      </c>
      <c r="B413" t="s">
        <v>27</v>
      </c>
      <c r="C413" t="s">
        <v>23</v>
      </c>
      <c r="D413" t="s">
        <v>36</v>
      </c>
      <c r="E413" t="s">
        <v>25</v>
      </c>
      <c r="F413">
        <v>17</v>
      </c>
      <c r="G413">
        <v>89.99</v>
      </c>
      <c r="H413">
        <v>45</v>
      </c>
      <c r="I413">
        <f t="shared" si="30"/>
        <v>1529.83</v>
      </c>
      <c r="J413">
        <f t="shared" si="31"/>
        <v>765</v>
      </c>
      <c r="K413">
        <f t="shared" si="32"/>
        <v>764.82999999999993</v>
      </c>
      <c r="L413" s="2">
        <f t="shared" si="33"/>
        <v>0.49994443827091894</v>
      </c>
      <c r="M413" t="str">
        <f t="shared" si="34"/>
        <v>Oct-2025</v>
      </c>
    </row>
    <row r="414" spans="1:13" x14ac:dyDescent="0.3">
      <c r="A414" s="1">
        <v>45961</v>
      </c>
      <c r="B414" t="s">
        <v>27</v>
      </c>
      <c r="C414" t="s">
        <v>23</v>
      </c>
      <c r="D414" t="s">
        <v>34</v>
      </c>
      <c r="E414" t="s">
        <v>11</v>
      </c>
      <c r="F414">
        <v>13</v>
      </c>
      <c r="G414">
        <v>299.99</v>
      </c>
      <c r="H414">
        <v>160</v>
      </c>
      <c r="I414">
        <f t="shared" si="30"/>
        <v>3899.87</v>
      </c>
      <c r="J414">
        <f t="shared" si="31"/>
        <v>2080</v>
      </c>
      <c r="K414">
        <f t="shared" si="32"/>
        <v>1819.87</v>
      </c>
      <c r="L414" s="2">
        <f t="shared" si="33"/>
        <v>0.46664888829627654</v>
      </c>
      <c r="M414" t="str">
        <f t="shared" si="34"/>
        <v>Oct-2025</v>
      </c>
    </row>
    <row r="415" spans="1:13" x14ac:dyDescent="0.3">
      <c r="A415" s="1">
        <v>45961</v>
      </c>
      <c r="B415" t="s">
        <v>8</v>
      </c>
      <c r="C415" t="s">
        <v>9</v>
      </c>
      <c r="D415" t="s">
        <v>30</v>
      </c>
      <c r="E415" t="s">
        <v>21</v>
      </c>
      <c r="F415">
        <v>37</v>
      </c>
      <c r="G415">
        <v>89.99</v>
      </c>
      <c r="H415">
        <v>42</v>
      </c>
      <c r="I415">
        <f t="shared" si="30"/>
        <v>3329.6299999999997</v>
      </c>
      <c r="J415">
        <f t="shared" si="31"/>
        <v>1554</v>
      </c>
      <c r="K415">
        <f t="shared" si="32"/>
        <v>1775.6299999999997</v>
      </c>
      <c r="L415" s="2">
        <f t="shared" si="33"/>
        <v>0.53328147571952433</v>
      </c>
      <c r="M415" t="str">
        <f t="shared" si="34"/>
        <v>Oct-2025</v>
      </c>
    </row>
    <row r="416" spans="1:13" x14ac:dyDescent="0.3">
      <c r="A416" s="1">
        <v>45961</v>
      </c>
      <c r="B416" t="s">
        <v>37</v>
      </c>
      <c r="C416" t="s">
        <v>16</v>
      </c>
      <c r="D416" t="s">
        <v>39</v>
      </c>
      <c r="E416" t="s">
        <v>25</v>
      </c>
      <c r="F416">
        <v>6</v>
      </c>
      <c r="G416">
        <v>149.99</v>
      </c>
      <c r="H416">
        <v>75</v>
      </c>
      <c r="I416">
        <f t="shared" si="30"/>
        <v>899.94</v>
      </c>
      <c r="J416">
        <f t="shared" si="31"/>
        <v>450</v>
      </c>
      <c r="K416">
        <f t="shared" si="32"/>
        <v>449.94000000000005</v>
      </c>
      <c r="L416" s="2">
        <f t="shared" si="33"/>
        <v>0.49996666444429633</v>
      </c>
      <c r="M416" t="str">
        <f t="shared" si="34"/>
        <v>Oct-2025</v>
      </c>
    </row>
    <row r="417" spans="1:13" x14ac:dyDescent="0.3">
      <c r="A417" s="1">
        <v>45961</v>
      </c>
      <c r="B417" t="s">
        <v>22</v>
      </c>
      <c r="C417" t="s">
        <v>23</v>
      </c>
      <c r="D417" t="s">
        <v>30</v>
      </c>
      <c r="E417" t="s">
        <v>21</v>
      </c>
      <c r="F417">
        <v>28</v>
      </c>
      <c r="G417">
        <v>89.99</v>
      </c>
      <c r="H417">
        <v>42</v>
      </c>
      <c r="I417">
        <f t="shared" si="30"/>
        <v>2519.7199999999998</v>
      </c>
      <c r="J417">
        <f t="shared" si="31"/>
        <v>1176</v>
      </c>
      <c r="K417">
        <f t="shared" si="32"/>
        <v>1343.7199999999998</v>
      </c>
      <c r="L417" s="2">
        <f t="shared" si="33"/>
        <v>0.53328147571952433</v>
      </c>
      <c r="M417" t="str">
        <f t="shared" si="34"/>
        <v>Oct-2025</v>
      </c>
    </row>
    <row r="418" spans="1:13" x14ac:dyDescent="0.3">
      <c r="A418" s="1">
        <v>45961</v>
      </c>
      <c r="B418" t="s">
        <v>18</v>
      </c>
      <c r="C418" t="s">
        <v>19</v>
      </c>
      <c r="D418" t="s">
        <v>10</v>
      </c>
      <c r="E418" t="s">
        <v>11</v>
      </c>
      <c r="F418">
        <v>3</v>
      </c>
      <c r="G418">
        <v>599.99</v>
      </c>
      <c r="H418">
        <v>360</v>
      </c>
      <c r="I418">
        <f t="shared" si="30"/>
        <v>1799.97</v>
      </c>
      <c r="J418">
        <f t="shared" si="31"/>
        <v>1080</v>
      </c>
      <c r="K418">
        <f t="shared" si="32"/>
        <v>719.97</v>
      </c>
      <c r="L418" s="2">
        <f t="shared" si="33"/>
        <v>0.39998999983333056</v>
      </c>
      <c r="M418" t="str">
        <f t="shared" si="34"/>
        <v>Oct-2025</v>
      </c>
    </row>
    <row r="419" spans="1:13" x14ac:dyDescent="0.3">
      <c r="A419" s="1">
        <v>45962</v>
      </c>
      <c r="B419" t="s">
        <v>12</v>
      </c>
      <c r="C419" t="s">
        <v>9</v>
      </c>
      <c r="D419" t="s">
        <v>39</v>
      </c>
      <c r="E419" t="s">
        <v>25</v>
      </c>
      <c r="F419">
        <v>8</v>
      </c>
      <c r="G419">
        <v>149.99</v>
      </c>
      <c r="H419">
        <v>75</v>
      </c>
      <c r="I419">
        <f t="shared" si="30"/>
        <v>1199.92</v>
      </c>
      <c r="J419">
        <f t="shared" si="31"/>
        <v>600</v>
      </c>
      <c r="K419">
        <f t="shared" si="32"/>
        <v>599.92000000000007</v>
      </c>
      <c r="L419" s="2">
        <f t="shared" si="33"/>
        <v>0.49996666444429633</v>
      </c>
      <c r="M419" t="str">
        <f t="shared" si="34"/>
        <v>Nov-2025</v>
      </c>
    </row>
    <row r="420" spans="1:13" x14ac:dyDescent="0.3">
      <c r="A420" s="1">
        <v>45963</v>
      </c>
      <c r="B420" t="s">
        <v>37</v>
      </c>
      <c r="C420" t="s">
        <v>16</v>
      </c>
      <c r="D420" t="s">
        <v>10</v>
      </c>
      <c r="E420" t="s">
        <v>11</v>
      </c>
      <c r="F420">
        <v>4</v>
      </c>
      <c r="G420">
        <v>599.99</v>
      </c>
      <c r="H420">
        <v>360</v>
      </c>
      <c r="I420">
        <f t="shared" si="30"/>
        <v>2399.96</v>
      </c>
      <c r="J420">
        <f t="shared" si="31"/>
        <v>1440</v>
      </c>
      <c r="K420">
        <f t="shared" si="32"/>
        <v>959.96</v>
      </c>
      <c r="L420" s="2">
        <f t="shared" si="33"/>
        <v>0.39998999983333056</v>
      </c>
      <c r="M420" t="str">
        <f t="shared" si="34"/>
        <v>Nov-2025</v>
      </c>
    </row>
    <row r="421" spans="1:13" x14ac:dyDescent="0.3">
      <c r="A421" s="1">
        <v>45964</v>
      </c>
      <c r="B421" t="s">
        <v>12</v>
      </c>
      <c r="C421" t="s">
        <v>9</v>
      </c>
      <c r="D421" t="s">
        <v>17</v>
      </c>
      <c r="E421" t="s">
        <v>11</v>
      </c>
      <c r="F421">
        <v>1</v>
      </c>
      <c r="G421">
        <v>179.99</v>
      </c>
      <c r="H421">
        <v>95</v>
      </c>
      <c r="I421">
        <f t="shared" si="30"/>
        <v>179.99</v>
      </c>
      <c r="J421">
        <f t="shared" si="31"/>
        <v>95</v>
      </c>
      <c r="K421">
        <f t="shared" si="32"/>
        <v>84.990000000000009</v>
      </c>
      <c r="L421" s="2">
        <f t="shared" si="33"/>
        <v>0.47219289960553368</v>
      </c>
      <c r="M421" t="str">
        <f t="shared" si="34"/>
        <v>Nov-2025</v>
      </c>
    </row>
    <row r="422" spans="1:13" x14ac:dyDescent="0.3">
      <c r="A422" s="1">
        <v>45964</v>
      </c>
      <c r="B422" t="s">
        <v>12</v>
      </c>
      <c r="C422" t="s">
        <v>9</v>
      </c>
      <c r="D422" t="s">
        <v>35</v>
      </c>
      <c r="E422" t="s">
        <v>25</v>
      </c>
      <c r="F422">
        <v>11</v>
      </c>
      <c r="G422">
        <v>349.99</v>
      </c>
      <c r="H422">
        <v>210</v>
      </c>
      <c r="I422">
        <f t="shared" si="30"/>
        <v>3849.8900000000003</v>
      </c>
      <c r="J422">
        <f t="shared" si="31"/>
        <v>2310</v>
      </c>
      <c r="K422">
        <f t="shared" si="32"/>
        <v>1539.8900000000003</v>
      </c>
      <c r="L422" s="2">
        <f t="shared" si="33"/>
        <v>0.39998285665304728</v>
      </c>
      <c r="M422" t="str">
        <f t="shared" si="34"/>
        <v>Nov-2025</v>
      </c>
    </row>
    <row r="423" spans="1:13" x14ac:dyDescent="0.3">
      <c r="A423" s="1">
        <v>45965</v>
      </c>
      <c r="B423" t="s">
        <v>12</v>
      </c>
      <c r="C423" t="s">
        <v>9</v>
      </c>
      <c r="D423" t="s">
        <v>10</v>
      </c>
      <c r="E423" t="s">
        <v>11</v>
      </c>
      <c r="F423">
        <v>3</v>
      </c>
      <c r="G423">
        <v>599.99</v>
      </c>
      <c r="H423">
        <v>360</v>
      </c>
      <c r="I423">
        <f t="shared" si="30"/>
        <v>1799.97</v>
      </c>
      <c r="J423">
        <f t="shared" si="31"/>
        <v>1080</v>
      </c>
      <c r="K423">
        <f t="shared" si="32"/>
        <v>719.97</v>
      </c>
      <c r="L423" s="2">
        <f t="shared" si="33"/>
        <v>0.39998999983333056</v>
      </c>
      <c r="M423" t="str">
        <f t="shared" si="34"/>
        <v>Nov-2025</v>
      </c>
    </row>
    <row r="424" spans="1:13" x14ac:dyDescent="0.3">
      <c r="A424" s="1">
        <v>45965</v>
      </c>
      <c r="B424" t="s">
        <v>37</v>
      </c>
      <c r="C424" t="s">
        <v>16</v>
      </c>
      <c r="D424" t="s">
        <v>39</v>
      </c>
      <c r="E424" t="s">
        <v>25</v>
      </c>
      <c r="F424">
        <v>9</v>
      </c>
      <c r="G424">
        <v>149.99</v>
      </c>
      <c r="H424">
        <v>75</v>
      </c>
      <c r="I424">
        <f t="shared" si="30"/>
        <v>1349.91</v>
      </c>
      <c r="J424">
        <f t="shared" si="31"/>
        <v>675</v>
      </c>
      <c r="K424">
        <f t="shared" si="32"/>
        <v>674.91000000000008</v>
      </c>
      <c r="L424" s="2">
        <f t="shared" si="33"/>
        <v>0.49996666444429633</v>
      </c>
      <c r="M424" t="str">
        <f t="shared" si="34"/>
        <v>Nov-2025</v>
      </c>
    </row>
    <row r="425" spans="1:13" x14ac:dyDescent="0.3">
      <c r="A425" s="1">
        <v>45966</v>
      </c>
      <c r="B425" t="s">
        <v>8</v>
      </c>
      <c r="C425" t="s">
        <v>9</v>
      </c>
      <c r="D425" t="s">
        <v>17</v>
      </c>
      <c r="E425" t="s">
        <v>11</v>
      </c>
      <c r="F425">
        <v>13</v>
      </c>
      <c r="G425">
        <v>179.99</v>
      </c>
      <c r="H425">
        <v>95</v>
      </c>
      <c r="I425">
        <f t="shared" si="30"/>
        <v>2339.87</v>
      </c>
      <c r="J425">
        <f t="shared" si="31"/>
        <v>1235</v>
      </c>
      <c r="K425">
        <f t="shared" si="32"/>
        <v>1104.8699999999999</v>
      </c>
      <c r="L425" s="2">
        <f t="shared" si="33"/>
        <v>0.47219289960553362</v>
      </c>
      <c r="M425" t="str">
        <f t="shared" si="34"/>
        <v>Nov-2025</v>
      </c>
    </row>
    <row r="426" spans="1:13" x14ac:dyDescent="0.3">
      <c r="A426" s="1">
        <v>45967</v>
      </c>
      <c r="B426" t="s">
        <v>27</v>
      </c>
      <c r="C426" t="s">
        <v>23</v>
      </c>
      <c r="D426" t="s">
        <v>10</v>
      </c>
      <c r="E426" t="s">
        <v>11</v>
      </c>
      <c r="F426">
        <v>3</v>
      </c>
      <c r="G426">
        <v>599.99</v>
      </c>
      <c r="H426">
        <v>360</v>
      </c>
      <c r="I426">
        <f t="shared" si="30"/>
        <v>1799.97</v>
      </c>
      <c r="J426">
        <f t="shared" si="31"/>
        <v>1080</v>
      </c>
      <c r="K426">
        <f t="shared" si="32"/>
        <v>719.97</v>
      </c>
      <c r="L426" s="2">
        <f t="shared" si="33"/>
        <v>0.39998999983333056</v>
      </c>
      <c r="M426" t="str">
        <f t="shared" si="34"/>
        <v>Nov-2025</v>
      </c>
    </row>
    <row r="427" spans="1:13" x14ac:dyDescent="0.3">
      <c r="A427" s="1">
        <v>45967</v>
      </c>
      <c r="B427" t="s">
        <v>27</v>
      </c>
      <c r="C427" t="s">
        <v>23</v>
      </c>
      <c r="D427" t="s">
        <v>36</v>
      </c>
      <c r="E427" t="s">
        <v>25</v>
      </c>
      <c r="F427">
        <v>49</v>
      </c>
      <c r="G427">
        <v>89.99</v>
      </c>
      <c r="H427">
        <v>45</v>
      </c>
      <c r="I427">
        <f t="shared" si="30"/>
        <v>4409.5099999999993</v>
      </c>
      <c r="J427">
        <f t="shared" si="31"/>
        <v>2205</v>
      </c>
      <c r="K427">
        <f t="shared" si="32"/>
        <v>2204.5099999999993</v>
      </c>
      <c r="L427" s="2">
        <f t="shared" si="33"/>
        <v>0.49994443827091889</v>
      </c>
      <c r="M427" t="str">
        <f t="shared" si="34"/>
        <v>Nov-2025</v>
      </c>
    </row>
    <row r="428" spans="1:13" x14ac:dyDescent="0.3">
      <c r="A428" s="1">
        <v>45968</v>
      </c>
      <c r="B428" t="s">
        <v>8</v>
      </c>
      <c r="C428" t="s">
        <v>9</v>
      </c>
      <c r="D428" t="s">
        <v>30</v>
      </c>
      <c r="E428" t="s">
        <v>21</v>
      </c>
      <c r="F428">
        <v>29</v>
      </c>
      <c r="G428">
        <v>89.99</v>
      </c>
      <c r="H428">
        <v>42</v>
      </c>
      <c r="I428">
        <f t="shared" si="30"/>
        <v>2609.71</v>
      </c>
      <c r="J428">
        <f t="shared" si="31"/>
        <v>1218</v>
      </c>
      <c r="K428">
        <f t="shared" si="32"/>
        <v>1391.71</v>
      </c>
      <c r="L428" s="2">
        <f t="shared" si="33"/>
        <v>0.53328147571952444</v>
      </c>
      <c r="M428" t="str">
        <f t="shared" si="34"/>
        <v>Nov-2025</v>
      </c>
    </row>
    <row r="429" spans="1:13" x14ac:dyDescent="0.3">
      <c r="A429" s="1">
        <v>45970</v>
      </c>
      <c r="B429" t="s">
        <v>12</v>
      </c>
      <c r="C429" t="s">
        <v>9</v>
      </c>
      <c r="D429" t="s">
        <v>35</v>
      </c>
      <c r="E429" t="s">
        <v>25</v>
      </c>
      <c r="F429">
        <v>5</v>
      </c>
      <c r="G429">
        <v>349.99</v>
      </c>
      <c r="H429">
        <v>210</v>
      </c>
      <c r="I429">
        <f t="shared" si="30"/>
        <v>1749.95</v>
      </c>
      <c r="J429">
        <f t="shared" si="31"/>
        <v>1050</v>
      </c>
      <c r="K429">
        <f t="shared" si="32"/>
        <v>699.95</v>
      </c>
      <c r="L429" s="2">
        <f t="shared" si="33"/>
        <v>0.39998285665304723</v>
      </c>
      <c r="M429" t="str">
        <f t="shared" si="34"/>
        <v>Nov-2025</v>
      </c>
    </row>
    <row r="430" spans="1:13" x14ac:dyDescent="0.3">
      <c r="A430" s="1">
        <v>45971</v>
      </c>
      <c r="B430" t="s">
        <v>18</v>
      </c>
      <c r="C430" t="s">
        <v>19</v>
      </c>
      <c r="D430" t="s">
        <v>10</v>
      </c>
      <c r="E430" t="s">
        <v>11</v>
      </c>
      <c r="F430">
        <v>2</v>
      </c>
      <c r="G430">
        <v>599.99</v>
      </c>
      <c r="H430">
        <v>360</v>
      </c>
      <c r="I430">
        <f t="shared" si="30"/>
        <v>1199.98</v>
      </c>
      <c r="J430">
        <f t="shared" si="31"/>
        <v>720</v>
      </c>
      <c r="K430">
        <f t="shared" si="32"/>
        <v>479.98</v>
      </c>
      <c r="L430" s="2">
        <f t="shared" si="33"/>
        <v>0.39998999983333056</v>
      </c>
      <c r="M430" t="str">
        <f t="shared" si="34"/>
        <v>Nov-2025</v>
      </c>
    </row>
    <row r="431" spans="1:13" x14ac:dyDescent="0.3">
      <c r="A431" s="1">
        <v>45971</v>
      </c>
      <c r="B431" t="s">
        <v>15</v>
      </c>
      <c r="C431" t="s">
        <v>16</v>
      </c>
      <c r="D431" t="s">
        <v>17</v>
      </c>
      <c r="E431" t="s">
        <v>11</v>
      </c>
      <c r="F431">
        <v>4</v>
      </c>
      <c r="G431">
        <v>179.99</v>
      </c>
      <c r="H431">
        <v>95</v>
      </c>
      <c r="I431">
        <f t="shared" si="30"/>
        <v>719.96</v>
      </c>
      <c r="J431">
        <f t="shared" si="31"/>
        <v>380</v>
      </c>
      <c r="K431">
        <f t="shared" si="32"/>
        <v>339.96000000000004</v>
      </c>
      <c r="L431" s="2">
        <f t="shared" si="33"/>
        <v>0.47219289960553368</v>
      </c>
      <c r="M431" t="str">
        <f t="shared" si="34"/>
        <v>Nov-2025</v>
      </c>
    </row>
    <row r="432" spans="1:13" x14ac:dyDescent="0.3">
      <c r="A432" s="1">
        <v>45972</v>
      </c>
      <c r="B432" t="s">
        <v>37</v>
      </c>
      <c r="C432" t="s">
        <v>16</v>
      </c>
      <c r="D432" t="s">
        <v>29</v>
      </c>
      <c r="E432" t="s">
        <v>14</v>
      </c>
      <c r="F432">
        <v>31</v>
      </c>
      <c r="G432">
        <v>49.99</v>
      </c>
      <c r="H432">
        <v>22</v>
      </c>
      <c r="I432">
        <f t="shared" si="30"/>
        <v>1549.69</v>
      </c>
      <c r="J432">
        <f t="shared" si="31"/>
        <v>682</v>
      </c>
      <c r="K432">
        <f t="shared" si="32"/>
        <v>867.69</v>
      </c>
      <c r="L432" s="2">
        <f t="shared" si="33"/>
        <v>0.55991198239647932</v>
      </c>
      <c r="M432" t="str">
        <f t="shared" si="34"/>
        <v>Nov-2025</v>
      </c>
    </row>
    <row r="433" spans="1:13" x14ac:dyDescent="0.3">
      <c r="A433" s="1">
        <v>45973</v>
      </c>
      <c r="B433" t="s">
        <v>15</v>
      </c>
      <c r="C433" t="s">
        <v>16</v>
      </c>
      <c r="D433" t="s">
        <v>33</v>
      </c>
      <c r="E433" t="s">
        <v>25</v>
      </c>
      <c r="F433">
        <v>6</v>
      </c>
      <c r="G433">
        <v>119.99</v>
      </c>
      <c r="H433">
        <v>60</v>
      </c>
      <c r="I433">
        <f t="shared" si="30"/>
        <v>719.93999999999994</v>
      </c>
      <c r="J433">
        <f t="shared" si="31"/>
        <v>360</v>
      </c>
      <c r="K433">
        <f t="shared" si="32"/>
        <v>359.93999999999994</v>
      </c>
      <c r="L433" s="2">
        <f t="shared" si="33"/>
        <v>0.49995832986082167</v>
      </c>
      <c r="M433" t="str">
        <f t="shared" si="34"/>
        <v>Nov-2025</v>
      </c>
    </row>
    <row r="434" spans="1:13" x14ac:dyDescent="0.3">
      <c r="A434" s="1">
        <v>45973</v>
      </c>
      <c r="B434" t="s">
        <v>22</v>
      </c>
      <c r="C434" t="s">
        <v>23</v>
      </c>
      <c r="D434" t="s">
        <v>24</v>
      </c>
      <c r="E434" t="s">
        <v>25</v>
      </c>
      <c r="F434">
        <v>11</v>
      </c>
      <c r="G434">
        <v>29.99</v>
      </c>
      <c r="H434">
        <v>12</v>
      </c>
      <c r="I434">
        <f t="shared" si="30"/>
        <v>329.89</v>
      </c>
      <c r="J434">
        <f t="shared" si="31"/>
        <v>132</v>
      </c>
      <c r="K434">
        <f t="shared" si="32"/>
        <v>197.89</v>
      </c>
      <c r="L434" s="2">
        <f t="shared" si="33"/>
        <v>0.5998666222074025</v>
      </c>
      <c r="M434" t="str">
        <f t="shared" si="34"/>
        <v>Nov-2025</v>
      </c>
    </row>
    <row r="435" spans="1:13" x14ac:dyDescent="0.3">
      <c r="A435" s="1">
        <v>45974</v>
      </c>
      <c r="B435" t="s">
        <v>8</v>
      </c>
      <c r="C435" t="s">
        <v>9</v>
      </c>
      <c r="D435" t="s">
        <v>38</v>
      </c>
      <c r="E435" t="s">
        <v>11</v>
      </c>
      <c r="F435">
        <v>5</v>
      </c>
      <c r="G435">
        <v>850</v>
      </c>
      <c r="H435">
        <v>520</v>
      </c>
      <c r="I435">
        <f t="shared" si="30"/>
        <v>4250</v>
      </c>
      <c r="J435">
        <f t="shared" si="31"/>
        <v>2600</v>
      </c>
      <c r="K435">
        <f t="shared" si="32"/>
        <v>1650</v>
      </c>
      <c r="L435" s="2">
        <f t="shared" si="33"/>
        <v>0.38823529411764707</v>
      </c>
      <c r="M435" t="str">
        <f t="shared" si="34"/>
        <v>Nov-2025</v>
      </c>
    </row>
    <row r="436" spans="1:13" x14ac:dyDescent="0.3">
      <c r="A436" s="1">
        <v>45975</v>
      </c>
      <c r="B436" t="s">
        <v>18</v>
      </c>
      <c r="C436" t="s">
        <v>19</v>
      </c>
      <c r="D436" t="s">
        <v>24</v>
      </c>
      <c r="E436" t="s">
        <v>25</v>
      </c>
      <c r="F436">
        <v>47</v>
      </c>
      <c r="G436">
        <v>29.99</v>
      </c>
      <c r="H436">
        <v>12</v>
      </c>
      <c r="I436">
        <f t="shared" si="30"/>
        <v>1409.53</v>
      </c>
      <c r="J436">
        <f t="shared" si="31"/>
        <v>564</v>
      </c>
      <c r="K436">
        <f t="shared" si="32"/>
        <v>845.53</v>
      </c>
      <c r="L436" s="2">
        <f t="shared" si="33"/>
        <v>0.5998666222074025</v>
      </c>
      <c r="M436" t="str">
        <f t="shared" si="34"/>
        <v>Nov-2025</v>
      </c>
    </row>
    <row r="437" spans="1:13" x14ac:dyDescent="0.3">
      <c r="A437" s="1">
        <v>45975</v>
      </c>
      <c r="B437" t="s">
        <v>37</v>
      </c>
      <c r="C437" t="s">
        <v>16</v>
      </c>
      <c r="D437" t="s">
        <v>29</v>
      </c>
      <c r="E437" t="s">
        <v>14</v>
      </c>
      <c r="F437">
        <v>49</v>
      </c>
      <c r="G437">
        <v>49.99</v>
      </c>
      <c r="H437">
        <v>22</v>
      </c>
      <c r="I437">
        <f t="shared" si="30"/>
        <v>2449.5100000000002</v>
      </c>
      <c r="J437">
        <f t="shared" si="31"/>
        <v>1078</v>
      </c>
      <c r="K437">
        <f t="shared" si="32"/>
        <v>1371.5100000000002</v>
      </c>
      <c r="L437" s="2">
        <f t="shared" si="33"/>
        <v>0.55991198239647932</v>
      </c>
      <c r="M437" t="str">
        <f t="shared" si="34"/>
        <v>Nov-2025</v>
      </c>
    </row>
    <row r="438" spans="1:13" x14ac:dyDescent="0.3">
      <c r="A438" s="1">
        <v>45975</v>
      </c>
      <c r="B438" t="s">
        <v>8</v>
      </c>
      <c r="C438" t="s">
        <v>9</v>
      </c>
      <c r="D438" t="s">
        <v>24</v>
      </c>
      <c r="E438" t="s">
        <v>25</v>
      </c>
      <c r="F438">
        <v>35</v>
      </c>
      <c r="G438">
        <v>29.99</v>
      </c>
      <c r="H438">
        <v>12</v>
      </c>
      <c r="I438">
        <f t="shared" si="30"/>
        <v>1049.6499999999999</v>
      </c>
      <c r="J438">
        <f t="shared" si="31"/>
        <v>420</v>
      </c>
      <c r="K438">
        <f t="shared" si="32"/>
        <v>629.64999999999986</v>
      </c>
      <c r="L438" s="2">
        <f t="shared" si="33"/>
        <v>0.59986662220740239</v>
      </c>
      <c r="M438" t="str">
        <f t="shared" si="34"/>
        <v>Nov-2025</v>
      </c>
    </row>
    <row r="439" spans="1:13" x14ac:dyDescent="0.3">
      <c r="A439" s="1">
        <v>45976</v>
      </c>
      <c r="B439" t="s">
        <v>12</v>
      </c>
      <c r="C439" t="s">
        <v>9</v>
      </c>
      <c r="D439" t="s">
        <v>29</v>
      </c>
      <c r="E439" t="s">
        <v>14</v>
      </c>
      <c r="F439">
        <v>27</v>
      </c>
      <c r="G439">
        <v>49.99</v>
      </c>
      <c r="H439">
        <v>22</v>
      </c>
      <c r="I439">
        <f t="shared" si="30"/>
        <v>1349.73</v>
      </c>
      <c r="J439">
        <f t="shared" si="31"/>
        <v>594</v>
      </c>
      <c r="K439">
        <f t="shared" si="32"/>
        <v>755.73</v>
      </c>
      <c r="L439" s="2">
        <f t="shared" si="33"/>
        <v>0.55991198239647932</v>
      </c>
      <c r="M439" t="str">
        <f t="shared" si="34"/>
        <v>Nov-2025</v>
      </c>
    </row>
    <row r="440" spans="1:13" x14ac:dyDescent="0.3">
      <c r="A440" s="1">
        <v>45977</v>
      </c>
      <c r="B440" t="s">
        <v>27</v>
      </c>
      <c r="C440" t="s">
        <v>23</v>
      </c>
      <c r="D440" t="s">
        <v>26</v>
      </c>
      <c r="E440" t="s">
        <v>25</v>
      </c>
      <c r="F440">
        <v>2</v>
      </c>
      <c r="G440">
        <v>1250</v>
      </c>
      <c r="H440">
        <v>850</v>
      </c>
      <c r="I440">
        <f t="shared" si="30"/>
        <v>2500</v>
      </c>
      <c r="J440">
        <f t="shared" si="31"/>
        <v>1700</v>
      </c>
      <c r="K440">
        <f t="shared" si="32"/>
        <v>800</v>
      </c>
      <c r="L440" s="2">
        <f t="shared" si="33"/>
        <v>0.32</v>
      </c>
      <c r="M440" t="str">
        <f t="shared" si="34"/>
        <v>Nov-2025</v>
      </c>
    </row>
    <row r="441" spans="1:13" x14ac:dyDescent="0.3">
      <c r="A441" s="1">
        <v>45978</v>
      </c>
      <c r="B441" t="s">
        <v>15</v>
      </c>
      <c r="C441" t="s">
        <v>16</v>
      </c>
      <c r="D441" t="s">
        <v>29</v>
      </c>
      <c r="E441" t="s">
        <v>14</v>
      </c>
      <c r="F441">
        <v>14</v>
      </c>
      <c r="G441">
        <v>49.99</v>
      </c>
      <c r="H441">
        <v>22</v>
      </c>
      <c r="I441">
        <f t="shared" si="30"/>
        <v>699.86</v>
      </c>
      <c r="J441">
        <f t="shared" si="31"/>
        <v>308</v>
      </c>
      <c r="K441">
        <f t="shared" si="32"/>
        <v>391.86</v>
      </c>
      <c r="L441" s="2">
        <f t="shared" si="33"/>
        <v>0.55991198239647932</v>
      </c>
      <c r="M441" t="str">
        <f t="shared" si="34"/>
        <v>Nov-2025</v>
      </c>
    </row>
    <row r="442" spans="1:13" x14ac:dyDescent="0.3">
      <c r="A442" s="1">
        <v>45979</v>
      </c>
      <c r="B442" t="s">
        <v>31</v>
      </c>
      <c r="C442" t="s">
        <v>32</v>
      </c>
      <c r="D442" t="s">
        <v>29</v>
      </c>
      <c r="E442" t="s">
        <v>14</v>
      </c>
      <c r="F442">
        <v>36</v>
      </c>
      <c r="G442">
        <v>49.99</v>
      </c>
      <c r="H442">
        <v>22</v>
      </c>
      <c r="I442">
        <f t="shared" si="30"/>
        <v>1799.64</v>
      </c>
      <c r="J442">
        <f t="shared" si="31"/>
        <v>792</v>
      </c>
      <c r="K442">
        <f t="shared" si="32"/>
        <v>1007.6400000000001</v>
      </c>
      <c r="L442" s="2">
        <f t="shared" si="33"/>
        <v>0.55991198239647932</v>
      </c>
      <c r="M442" t="str">
        <f t="shared" si="34"/>
        <v>Nov-2025</v>
      </c>
    </row>
    <row r="443" spans="1:13" x14ac:dyDescent="0.3">
      <c r="A443" s="1">
        <v>45980</v>
      </c>
      <c r="B443" t="s">
        <v>31</v>
      </c>
      <c r="C443" t="s">
        <v>32</v>
      </c>
      <c r="D443" t="s">
        <v>13</v>
      </c>
      <c r="E443" t="s">
        <v>14</v>
      </c>
      <c r="F443">
        <v>47</v>
      </c>
      <c r="G443">
        <v>34.99</v>
      </c>
      <c r="H443">
        <v>14</v>
      </c>
      <c r="I443">
        <f t="shared" si="30"/>
        <v>1644.5300000000002</v>
      </c>
      <c r="J443">
        <f t="shared" si="31"/>
        <v>658</v>
      </c>
      <c r="K443">
        <f t="shared" si="32"/>
        <v>986.5300000000002</v>
      </c>
      <c r="L443" s="2">
        <f t="shared" si="33"/>
        <v>0.59988568162332101</v>
      </c>
      <c r="M443" t="str">
        <f t="shared" si="34"/>
        <v>Nov-2025</v>
      </c>
    </row>
    <row r="444" spans="1:13" x14ac:dyDescent="0.3">
      <c r="A444" s="1">
        <v>45980</v>
      </c>
      <c r="B444" t="s">
        <v>18</v>
      </c>
      <c r="C444" t="s">
        <v>19</v>
      </c>
      <c r="D444" t="s">
        <v>29</v>
      </c>
      <c r="E444" t="s">
        <v>14</v>
      </c>
      <c r="F444">
        <v>34</v>
      </c>
      <c r="G444">
        <v>49.99</v>
      </c>
      <c r="H444">
        <v>22</v>
      </c>
      <c r="I444">
        <f t="shared" si="30"/>
        <v>1699.66</v>
      </c>
      <c r="J444">
        <f t="shared" si="31"/>
        <v>748</v>
      </c>
      <c r="K444">
        <f t="shared" si="32"/>
        <v>951.66000000000008</v>
      </c>
      <c r="L444" s="2">
        <f t="shared" si="33"/>
        <v>0.55991198239647932</v>
      </c>
      <c r="M444" t="str">
        <f t="shared" si="34"/>
        <v>Nov-2025</v>
      </c>
    </row>
    <row r="445" spans="1:13" x14ac:dyDescent="0.3">
      <c r="A445" s="1">
        <v>45981</v>
      </c>
      <c r="B445" t="s">
        <v>12</v>
      </c>
      <c r="C445" t="s">
        <v>9</v>
      </c>
      <c r="D445" t="s">
        <v>36</v>
      </c>
      <c r="E445" t="s">
        <v>25</v>
      </c>
      <c r="F445">
        <v>43</v>
      </c>
      <c r="G445">
        <v>89.99</v>
      </c>
      <c r="H445">
        <v>45</v>
      </c>
      <c r="I445">
        <f t="shared" si="30"/>
        <v>3869.5699999999997</v>
      </c>
      <c r="J445">
        <f t="shared" si="31"/>
        <v>1935</v>
      </c>
      <c r="K445">
        <f t="shared" si="32"/>
        <v>1934.5699999999997</v>
      </c>
      <c r="L445" s="2">
        <f t="shared" si="33"/>
        <v>0.49994443827091894</v>
      </c>
      <c r="M445" t="str">
        <f t="shared" si="34"/>
        <v>Nov-2025</v>
      </c>
    </row>
    <row r="446" spans="1:13" x14ac:dyDescent="0.3">
      <c r="A446" s="1">
        <v>45982</v>
      </c>
      <c r="B446" t="s">
        <v>22</v>
      </c>
      <c r="C446" t="s">
        <v>23</v>
      </c>
      <c r="D446" t="s">
        <v>33</v>
      </c>
      <c r="E446" t="s">
        <v>25</v>
      </c>
      <c r="F446">
        <v>2</v>
      </c>
      <c r="G446">
        <v>119.99</v>
      </c>
      <c r="H446">
        <v>60</v>
      </c>
      <c r="I446">
        <f t="shared" si="30"/>
        <v>239.98</v>
      </c>
      <c r="J446">
        <f t="shared" si="31"/>
        <v>120</v>
      </c>
      <c r="K446">
        <f t="shared" si="32"/>
        <v>119.97999999999999</v>
      </c>
      <c r="L446" s="2">
        <f t="shared" si="33"/>
        <v>0.49995832986082173</v>
      </c>
      <c r="M446" t="str">
        <f t="shared" si="34"/>
        <v>Nov-2025</v>
      </c>
    </row>
    <row r="447" spans="1:13" x14ac:dyDescent="0.3">
      <c r="A447" s="1">
        <v>45982</v>
      </c>
      <c r="B447" t="s">
        <v>15</v>
      </c>
      <c r="C447" t="s">
        <v>16</v>
      </c>
      <c r="D447" t="s">
        <v>34</v>
      </c>
      <c r="E447" t="s">
        <v>11</v>
      </c>
      <c r="F447">
        <v>4</v>
      </c>
      <c r="G447">
        <v>299.99</v>
      </c>
      <c r="H447">
        <v>160</v>
      </c>
      <c r="I447">
        <f t="shared" si="30"/>
        <v>1199.96</v>
      </c>
      <c r="J447">
        <f t="shared" si="31"/>
        <v>640</v>
      </c>
      <c r="K447">
        <f t="shared" si="32"/>
        <v>559.96</v>
      </c>
      <c r="L447" s="2">
        <f t="shared" si="33"/>
        <v>0.46664888829627654</v>
      </c>
      <c r="M447" t="str">
        <f t="shared" si="34"/>
        <v>Nov-2025</v>
      </c>
    </row>
    <row r="448" spans="1:13" x14ac:dyDescent="0.3">
      <c r="A448" s="1">
        <v>45982</v>
      </c>
      <c r="B448" t="s">
        <v>12</v>
      </c>
      <c r="C448" t="s">
        <v>9</v>
      </c>
      <c r="D448" t="s">
        <v>10</v>
      </c>
      <c r="E448" t="s">
        <v>11</v>
      </c>
      <c r="F448">
        <v>2</v>
      </c>
      <c r="G448">
        <v>599.99</v>
      </c>
      <c r="H448">
        <v>360</v>
      </c>
      <c r="I448">
        <f t="shared" si="30"/>
        <v>1199.98</v>
      </c>
      <c r="J448">
        <f t="shared" si="31"/>
        <v>720</v>
      </c>
      <c r="K448">
        <f t="shared" si="32"/>
        <v>479.98</v>
      </c>
      <c r="L448" s="2">
        <f t="shared" si="33"/>
        <v>0.39998999983333056</v>
      </c>
      <c r="M448" t="str">
        <f t="shared" si="34"/>
        <v>Nov-2025</v>
      </c>
    </row>
    <row r="449" spans="1:13" x14ac:dyDescent="0.3">
      <c r="A449" s="1">
        <v>45983</v>
      </c>
      <c r="B449" t="s">
        <v>15</v>
      </c>
      <c r="C449" t="s">
        <v>16</v>
      </c>
      <c r="D449" t="s">
        <v>38</v>
      </c>
      <c r="E449" t="s">
        <v>11</v>
      </c>
      <c r="F449">
        <v>5</v>
      </c>
      <c r="G449">
        <v>850</v>
      </c>
      <c r="H449">
        <v>520</v>
      </c>
      <c r="I449">
        <f t="shared" si="30"/>
        <v>4250</v>
      </c>
      <c r="J449">
        <f t="shared" si="31"/>
        <v>2600</v>
      </c>
      <c r="K449">
        <f t="shared" si="32"/>
        <v>1650</v>
      </c>
      <c r="L449" s="2">
        <f t="shared" si="33"/>
        <v>0.38823529411764707</v>
      </c>
      <c r="M449" t="str">
        <f t="shared" si="34"/>
        <v>Nov-2025</v>
      </c>
    </row>
    <row r="450" spans="1:13" x14ac:dyDescent="0.3">
      <c r="A450" s="1">
        <v>45983</v>
      </c>
      <c r="B450" t="s">
        <v>18</v>
      </c>
      <c r="C450" t="s">
        <v>19</v>
      </c>
      <c r="D450" t="s">
        <v>35</v>
      </c>
      <c r="E450" t="s">
        <v>25</v>
      </c>
      <c r="F450">
        <v>13</v>
      </c>
      <c r="G450">
        <v>349.99</v>
      </c>
      <c r="H450">
        <v>210</v>
      </c>
      <c r="I450">
        <f t="shared" si="30"/>
        <v>4549.87</v>
      </c>
      <c r="J450">
        <f t="shared" si="31"/>
        <v>2730</v>
      </c>
      <c r="K450">
        <f t="shared" si="32"/>
        <v>1819.87</v>
      </c>
      <c r="L450" s="2">
        <f t="shared" si="33"/>
        <v>0.39998285665304723</v>
      </c>
      <c r="M450" t="str">
        <f t="shared" si="34"/>
        <v>Nov-2025</v>
      </c>
    </row>
    <row r="451" spans="1:13" x14ac:dyDescent="0.3">
      <c r="A451" s="1">
        <v>45984</v>
      </c>
      <c r="B451" t="s">
        <v>18</v>
      </c>
      <c r="C451" t="s">
        <v>19</v>
      </c>
      <c r="D451" t="s">
        <v>33</v>
      </c>
      <c r="E451" t="s">
        <v>25</v>
      </c>
      <c r="F451">
        <v>12</v>
      </c>
      <c r="G451">
        <v>119.99</v>
      </c>
      <c r="H451">
        <v>60</v>
      </c>
      <c r="I451">
        <f t="shared" ref="I451:I501" si="35">F451*G451</f>
        <v>1439.8799999999999</v>
      </c>
      <c r="J451">
        <f t="shared" ref="J451:J501" si="36">F451*H451</f>
        <v>720</v>
      </c>
      <c r="K451">
        <f t="shared" ref="K451:K501" si="37">I451-J451</f>
        <v>719.87999999999988</v>
      </c>
      <c r="L451" s="2">
        <f t="shared" ref="L451:L501" si="38">K451/I451</f>
        <v>0.49995832986082167</v>
      </c>
      <c r="M451" t="str">
        <f t="shared" ref="M451:M501" si="39">TEXT(A451,"mmm-yyyy")</f>
        <v>Nov-2025</v>
      </c>
    </row>
    <row r="452" spans="1:13" x14ac:dyDescent="0.3">
      <c r="A452" s="1">
        <v>45984</v>
      </c>
      <c r="B452" t="s">
        <v>22</v>
      </c>
      <c r="C452" t="s">
        <v>23</v>
      </c>
      <c r="D452" t="s">
        <v>39</v>
      </c>
      <c r="E452" t="s">
        <v>25</v>
      </c>
      <c r="F452">
        <v>7</v>
      </c>
      <c r="G452">
        <v>149.99</v>
      </c>
      <c r="H452">
        <v>75</v>
      </c>
      <c r="I452">
        <f t="shared" si="35"/>
        <v>1049.93</v>
      </c>
      <c r="J452">
        <f t="shared" si="36"/>
        <v>525</v>
      </c>
      <c r="K452">
        <f t="shared" si="37"/>
        <v>524.93000000000006</v>
      </c>
      <c r="L452" s="2">
        <f t="shared" si="38"/>
        <v>0.49996666444429633</v>
      </c>
      <c r="M452" t="str">
        <f t="shared" si="39"/>
        <v>Nov-2025</v>
      </c>
    </row>
    <row r="453" spans="1:13" x14ac:dyDescent="0.3">
      <c r="A453" s="1">
        <v>45985</v>
      </c>
      <c r="B453" t="s">
        <v>31</v>
      </c>
      <c r="C453" t="s">
        <v>32</v>
      </c>
      <c r="D453" t="s">
        <v>34</v>
      </c>
      <c r="E453" t="s">
        <v>11</v>
      </c>
      <c r="F453">
        <v>2</v>
      </c>
      <c r="G453">
        <v>299.99</v>
      </c>
      <c r="H453">
        <v>160</v>
      </c>
      <c r="I453">
        <f t="shared" si="35"/>
        <v>599.98</v>
      </c>
      <c r="J453">
        <f t="shared" si="36"/>
        <v>320</v>
      </c>
      <c r="K453">
        <f t="shared" si="37"/>
        <v>279.98</v>
      </c>
      <c r="L453" s="2">
        <f t="shared" si="38"/>
        <v>0.46664888829627654</v>
      </c>
      <c r="M453" t="str">
        <f t="shared" si="39"/>
        <v>Nov-2025</v>
      </c>
    </row>
    <row r="454" spans="1:13" x14ac:dyDescent="0.3">
      <c r="A454" s="1">
        <v>45986</v>
      </c>
      <c r="B454" t="s">
        <v>12</v>
      </c>
      <c r="C454" t="s">
        <v>9</v>
      </c>
      <c r="D454" t="s">
        <v>26</v>
      </c>
      <c r="E454" t="s">
        <v>25</v>
      </c>
      <c r="F454">
        <v>5</v>
      </c>
      <c r="G454">
        <v>1250</v>
      </c>
      <c r="H454">
        <v>850</v>
      </c>
      <c r="I454">
        <f t="shared" si="35"/>
        <v>6250</v>
      </c>
      <c r="J454">
        <f t="shared" si="36"/>
        <v>4250</v>
      </c>
      <c r="K454">
        <f t="shared" si="37"/>
        <v>2000</v>
      </c>
      <c r="L454" s="2">
        <f t="shared" si="38"/>
        <v>0.32</v>
      </c>
      <c r="M454" t="str">
        <f t="shared" si="39"/>
        <v>Nov-2025</v>
      </c>
    </row>
    <row r="455" spans="1:13" x14ac:dyDescent="0.3">
      <c r="A455" s="1">
        <v>45988</v>
      </c>
      <c r="B455" t="s">
        <v>37</v>
      </c>
      <c r="C455" t="s">
        <v>16</v>
      </c>
      <c r="D455" t="s">
        <v>26</v>
      </c>
      <c r="E455" t="s">
        <v>25</v>
      </c>
      <c r="F455">
        <v>3</v>
      </c>
      <c r="G455">
        <v>1250</v>
      </c>
      <c r="H455">
        <v>850</v>
      </c>
      <c r="I455">
        <f t="shared" si="35"/>
        <v>3750</v>
      </c>
      <c r="J455">
        <f t="shared" si="36"/>
        <v>2550</v>
      </c>
      <c r="K455">
        <f t="shared" si="37"/>
        <v>1200</v>
      </c>
      <c r="L455" s="2">
        <f t="shared" si="38"/>
        <v>0.32</v>
      </c>
      <c r="M455" t="str">
        <f t="shared" si="39"/>
        <v>Nov-2025</v>
      </c>
    </row>
    <row r="456" spans="1:13" x14ac:dyDescent="0.3">
      <c r="A456" s="1">
        <v>45988</v>
      </c>
      <c r="B456" t="s">
        <v>31</v>
      </c>
      <c r="C456" t="s">
        <v>32</v>
      </c>
      <c r="D456" t="s">
        <v>28</v>
      </c>
      <c r="E456" t="s">
        <v>21</v>
      </c>
      <c r="F456">
        <v>45</v>
      </c>
      <c r="G456">
        <v>79.989999999999995</v>
      </c>
      <c r="H456">
        <v>40</v>
      </c>
      <c r="I456">
        <f t="shared" si="35"/>
        <v>3599.5499999999997</v>
      </c>
      <c r="J456">
        <f t="shared" si="36"/>
        <v>1800</v>
      </c>
      <c r="K456">
        <f t="shared" si="37"/>
        <v>1799.5499999999997</v>
      </c>
      <c r="L456" s="2">
        <f t="shared" si="38"/>
        <v>0.49993749218652328</v>
      </c>
      <c r="M456" t="str">
        <f t="shared" si="39"/>
        <v>Nov-2025</v>
      </c>
    </row>
    <row r="457" spans="1:13" x14ac:dyDescent="0.3">
      <c r="A457" s="1">
        <v>45993</v>
      </c>
      <c r="B457" t="s">
        <v>12</v>
      </c>
      <c r="C457" t="s">
        <v>9</v>
      </c>
      <c r="D457" t="s">
        <v>30</v>
      </c>
      <c r="E457" t="s">
        <v>21</v>
      </c>
      <c r="F457">
        <v>21</v>
      </c>
      <c r="G457">
        <v>89.99</v>
      </c>
      <c r="H457">
        <v>42</v>
      </c>
      <c r="I457">
        <f t="shared" si="35"/>
        <v>1889.79</v>
      </c>
      <c r="J457">
        <f t="shared" si="36"/>
        <v>882</v>
      </c>
      <c r="K457">
        <f t="shared" si="37"/>
        <v>1007.79</v>
      </c>
      <c r="L457" s="2">
        <f t="shared" si="38"/>
        <v>0.53328147571952433</v>
      </c>
      <c r="M457" t="str">
        <f t="shared" si="39"/>
        <v>Dec-2025</v>
      </c>
    </row>
    <row r="458" spans="1:13" x14ac:dyDescent="0.3">
      <c r="A458" s="1">
        <v>45995</v>
      </c>
      <c r="B458" t="s">
        <v>31</v>
      </c>
      <c r="C458" t="s">
        <v>32</v>
      </c>
      <c r="D458" t="s">
        <v>29</v>
      </c>
      <c r="E458" t="s">
        <v>14</v>
      </c>
      <c r="F458">
        <v>44</v>
      </c>
      <c r="G458">
        <v>49.99</v>
      </c>
      <c r="H458">
        <v>22</v>
      </c>
      <c r="I458">
        <f t="shared" si="35"/>
        <v>2199.56</v>
      </c>
      <c r="J458">
        <f t="shared" si="36"/>
        <v>968</v>
      </c>
      <c r="K458">
        <f t="shared" si="37"/>
        <v>1231.56</v>
      </c>
      <c r="L458" s="2">
        <f t="shared" si="38"/>
        <v>0.55991198239647932</v>
      </c>
      <c r="M458" t="str">
        <f t="shared" si="39"/>
        <v>Dec-2025</v>
      </c>
    </row>
    <row r="459" spans="1:13" x14ac:dyDescent="0.3">
      <c r="A459" s="1">
        <v>45995</v>
      </c>
      <c r="B459" t="s">
        <v>37</v>
      </c>
      <c r="C459" t="s">
        <v>16</v>
      </c>
      <c r="D459" t="s">
        <v>33</v>
      </c>
      <c r="E459" t="s">
        <v>25</v>
      </c>
      <c r="F459">
        <v>2</v>
      </c>
      <c r="G459">
        <v>119.99</v>
      </c>
      <c r="H459">
        <v>60</v>
      </c>
      <c r="I459">
        <f t="shared" si="35"/>
        <v>239.98</v>
      </c>
      <c r="J459">
        <f t="shared" si="36"/>
        <v>120</v>
      </c>
      <c r="K459">
        <f t="shared" si="37"/>
        <v>119.97999999999999</v>
      </c>
      <c r="L459" s="2">
        <f t="shared" si="38"/>
        <v>0.49995832986082173</v>
      </c>
      <c r="M459" t="str">
        <f t="shared" si="39"/>
        <v>Dec-2025</v>
      </c>
    </row>
    <row r="460" spans="1:13" x14ac:dyDescent="0.3">
      <c r="A460" s="1">
        <v>45995</v>
      </c>
      <c r="B460" t="s">
        <v>27</v>
      </c>
      <c r="C460" t="s">
        <v>23</v>
      </c>
      <c r="D460" t="s">
        <v>17</v>
      </c>
      <c r="E460" t="s">
        <v>11</v>
      </c>
      <c r="F460">
        <v>12</v>
      </c>
      <c r="G460">
        <v>179.99</v>
      </c>
      <c r="H460">
        <v>95</v>
      </c>
      <c r="I460">
        <f t="shared" si="35"/>
        <v>2159.88</v>
      </c>
      <c r="J460">
        <f t="shared" si="36"/>
        <v>1140</v>
      </c>
      <c r="K460">
        <f t="shared" si="37"/>
        <v>1019.8800000000001</v>
      </c>
      <c r="L460" s="2">
        <f t="shared" si="38"/>
        <v>0.47219289960553368</v>
      </c>
      <c r="M460" t="str">
        <f t="shared" si="39"/>
        <v>Dec-2025</v>
      </c>
    </row>
    <row r="461" spans="1:13" x14ac:dyDescent="0.3">
      <c r="A461" s="1">
        <v>45997</v>
      </c>
      <c r="B461" t="s">
        <v>27</v>
      </c>
      <c r="C461" t="s">
        <v>23</v>
      </c>
      <c r="D461" t="s">
        <v>13</v>
      </c>
      <c r="E461" t="s">
        <v>14</v>
      </c>
      <c r="F461">
        <v>28</v>
      </c>
      <c r="G461">
        <v>34.99</v>
      </c>
      <c r="H461">
        <v>14</v>
      </c>
      <c r="I461">
        <f t="shared" si="35"/>
        <v>979.72</v>
      </c>
      <c r="J461">
        <f t="shared" si="36"/>
        <v>392</v>
      </c>
      <c r="K461">
        <f t="shared" si="37"/>
        <v>587.72</v>
      </c>
      <c r="L461" s="2">
        <f t="shared" si="38"/>
        <v>0.59988568162332101</v>
      </c>
      <c r="M461" t="str">
        <f t="shared" si="39"/>
        <v>Dec-2025</v>
      </c>
    </row>
    <row r="462" spans="1:13" x14ac:dyDescent="0.3">
      <c r="A462" s="1">
        <v>45997</v>
      </c>
      <c r="B462" t="s">
        <v>22</v>
      </c>
      <c r="C462" t="s">
        <v>23</v>
      </c>
      <c r="D462" t="s">
        <v>24</v>
      </c>
      <c r="E462" t="s">
        <v>25</v>
      </c>
      <c r="F462">
        <v>49</v>
      </c>
      <c r="G462">
        <v>29.99</v>
      </c>
      <c r="H462">
        <v>12</v>
      </c>
      <c r="I462">
        <f t="shared" si="35"/>
        <v>1469.51</v>
      </c>
      <c r="J462">
        <f t="shared" si="36"/>
        <v>588</v>
      </c>
      <c r="K462">
        <f t="shared" si="37"/>
        <v>881.51</v>
      </c>
      <c r="L462" s="2">
        <f t="shared" si="38"/>
        <v>0.5998666222074025</v>
      </c>
      <c r="M462" t="str">
        <f t="shared" si="39"/>
        <v>Dec-2025</v>
      </c>
    </row>
    <row r="463" spans="1:13" x14ac:dyDescent="0.3">
      <c r="A463" s="1">
        <v>45997</v>
      </c>
      <c r="B463" t="s">
        <v>27</v>
      </c>
      <c r="C463" t="s">
        <v>23</v>
      </c>
      <c r="D463" t="s">
        <v>39</v>
      </c>
      <c r="E463" t="s">
        <v>25</v>
      </c>
      <c r="F463">
        <v>3</v>
      </c>
      <c r="G463">
        <v>149.99</v>
      </c>
      <c r="H463">
        <v>75</v>
      </c>
      <c r="I463">
        <f t="shared" si="35"/>
        <v>449.97</v>
      </c>
      <c r="J463">
        <f t="shared" si="36"/>
        <v>225</v>
      </c>
      <c r="K463">
        <f t="shared" si="37"/>
        <v>224.97000000000003</v>
      </c>
      <c r="L463" s="2">
        <f t="shared" si="38"/>
        <v>0.49996666444429633</v>
      </c>
      <c r="M463" t="str">
        <f t="shared" si="39"/>
        <v>Dec-2025</v>
      </c>
    </row>
    <row r="464" spans="1:13" x14ac:dyDescent="0.3">
      <c r="A464" s="1">
        <v>45998</v>
      </c>
      <c r="B464" t="s">
        <v>27</v>
      </c>
      <c r="C464" t="s">
        <v>23</v>
      </c>
      <c r="D464" t="s">
        <v>26</v>
      </c>
      <c r="E464" t="s">
        <v>25</v>
      </c>
      <c r="F464">
        <v>3</v>
      </c>
      <c r="G464">
        <v>1250</v>
      </c>
      <c r="H464">
        <v>850</v>
      </c>
      <c r="I464">
        <f t="shared" si="35"/>
        <v>3750</v>
      </c>
      <c r="J464">
        <f t="shared" si="36"/>
        <v>2550</v>
      </c>
      <c r="K464">
        <f t="shared" si="37"/>
        <v>1200</v>
      </c>
      <c r="L464" s="2">
        <f t="shared" si="38"/>
        <v>0.32</v>
      </c>
      <c r="M464" t="str">
        <f t="shared" si="39"/>
        <v>Dec-2025</v>
      </c>
    </row>
    <row r="465" spans="1:13" x14ac:dyDescent="0.3">
      <c r="A465" s="1">
        <v>45999</v>
      </c>
      <c r="B465" t="s">
        <v>8</v>
      </c>
      <c r="C465" t="s">
        <v>9</v>
      </c>
      <c r="D465" t="s">
        <v>38</v>
      </c>
      <c r="E465" t="s">
        <v>11</v>
      </c>
      <c r="F465">
        <v>2</v>
      </c>
      <c r="G465">
        <v>850</v>
      </c>
      <c r="H465">
        <v>520</v>
      </c>
      <c r="I465">
        <f t="shared" si="35"/>
        <v>1700</v>
      </c>
      <c r="J465">
        <f t="shared" si="36"/>
        <v>1040</v>
      </c>
      <c r="K465">
        <f t="shared" si="37"/>
        <v>660</v>
      </c>
      <c r="L465" s="2">
        <f t="shared" si="38"/>
        <v>0.38823529411764707</v>
      </c>
      <c r="M465" t="str">
        <f t="shared" si="39"/>
        <v>Dec-2025</v>
      </c>
    </row>
    <row r="466" spans="1:13" x14ac:dyDescent="0.3">
      <c r="A466" s="1">
        <v>45999</v>
      </c>
      <c r="B466" t="s">
        <v>15</v>
      </c>
      <c r="C466" t="s">
        <v>16</v>
      </c>
      <c r="D466" t="s">
        <v>26</v>
      </c>
      <c r="E466" t="s">
        <v>25</v>
      </c>
      <c r="F466">
        <v>1</v>
      </c>
      <c r="G466">
        <v>1250</v>
      </c>
      <c r="H466">
        <v>850</v>
      </c>
      <c r="I466">
        <f t="shared" si="35"/>
        <v>1250</v>
      </c>
      <c r="J466">
        <f t="shared" si="36"/>
        <v>850</v>
      </c>
      <c r="K466">
        <f t="shared" si="37"/>
        <v>400</v>
      </c>
      <c r="L466" s="2">
        <f t="shared" si="38"/>
        <v>0.32</v>
      </c>
      <c r="M466" t="str">
        <f t="shared" si="39"/>
        <v>Dec-2025</v>
      </c>
    </row>
    <row r="467" spans="1:13" x14ac:dyDescent="0.3">
      <c r="A467" s="1">
        <v>45999</v>
      </c>
      <c r="B467" t="s">
        <v>8</v>
      </c>
      <c r="C467" t="s">
        <v>9</v>
      </c>
      <c r="D467" t="s">
        <v>35</v>
      </c>
      <c r="E467" t="s">
        <v>25</v>
      </c>
      <c r="F467">
        <v>2</v>
      </c>
      <c r="G467">
        <v>349.99</v>
      </c>
      <c r="H467">
        <v>210</v>
      </c>
      <c r="I467">
        <f t="shared" si="35"/>
        <v>699.98</v>
      </c>
      <c r="J467">
        <f t="shared" si="36"/>
        <v>420</v>
      </c>
      <c r="K467">
        <f t="shared" si="37"/>
        <v>279.98</v>
      </c>
      <c r="L467" s="2">
        <f t="shared" si="38"/>
        <v>0.39998285665304723</v>
      </c>
      <c r="M467" t="str">
        <f t="shared" si="39"/>
        <v>Dec-2025</v>
      </c>
    </row>
    <row r="468" spans="1:13" x14ac:dyDescent="0.3">
      <c r="A468" s="1">
        <v>46000</v>
      </c>
      <c r="B468" t="s">
        <v>8</v>
      </c>
      <c r="C468" t="s">
        <v>9</v>
      </c>
      <c r="D468" t="s">
        <v>10</v>
      </c>
      <c r="E468" t="s">
        <v>11</v>
      </c>
      <c r="F468">
        <v>4</v>
      </c>
      <c r="G468">
        <v>599.99</v>
      </c>
      <c r="H468">
        <v>360</v>
      </c>
      <c r="I468">
        <f t="shared" si="35"/>
        <v>2399.96</v>
      </c>
      <c r="J468">
        <f t="shared" si="36"/>
        <v>1440</v>
      </c>
      <c r="K468">
        <f t="shared" si="37"/>
        <v>959.96</v>
      </c>
      <c r="L468" s="2">
        <f t="shared" si="38"/>
        <v>0.39998999983333056</v>
      </c>
      <c r="M468" t="str">
        <f t="shared" si="39"/>
        <v>Dec-2025</v>
      </c>
    </row>
    <row r="469" spans="1:13" x14ac:dyDescent="0.3">
      <c r="A469" s="1">
        <v>46001</v>
      </c>
      <c r="B469" t="s">
        <v>22</v>
      </c>
      <c r="C469" t="s">
        <v>23</v>
      </c>
      <c r="D469" t="s">
        <v>26</v>
      </c>
      <c r="E469" t="s">
        <v>25</v>
      </c>
      <c r="F469">
        <v>4</v>
      </c>
      <c r="G469">
        <v>1250</v>
      </c>
      <c r="H469">
        <v>850</v>
      </c>
      <c r="I469">
        <f t="shared" si="35"/>
        <v>5000</v>
      </c>
      <c r="J469">
        <f t="shared" si="36"/>
        <v>3400</v>
      </c>
      <c r="K469">
        <f t="shared" si="37"/>
        <v>1600</v>
      </c>
      <c r="L469" s="2">
        <f t="shared" si="38"/>
        <v>0.32</v>
      </c>
      <c r="M469" t="str">
        <f t="shared" si="39"/>
        <v>Dec-2025</v>
      </c>
    </row>
    <row r="470" spans="1:13" x14ac:dyDescent="0.3">
      <c r="A470" s="1">
        <v>46001</v>
      </c>
      <c r="B470" t="s">
        <v>8</v>
      </c>
      <c r="C470" t="s">
        <v>9</v>
      </c>
      <c r="D470" t="s">
        <v>35</v>
      </c>
      <c r="E470" t="s">
        <v>25</v>
      </c>
      <c r="F470">
        <v>14</v>
      </c>
      <c r="G470">
        <v>349.99</v>
      </c>
      <c r="H470">
        <v>210</v>
      </c>
      <c r="I470">
        <f t="shared" si="35"/>
        <v>4899.8600000000006</v>
      </c>
      <c r="J470">
        <f t="shared" si="36"/>
        <v>2940</v>
      </c>
      <c r="K470">
        <f t="shared" si="37"/>
        <v>1959.8600000000006</v>
      </c>
      <c r="L470" s="2">
        <f t="shared" si="38"/>
        <v>0.39998285665304728</v>
      </c>
      <c r="M470" t="str">
        <f t="shared" si="39"/>
        <v>Dec-2025</v>
      </c>
    </row>
    <row r="471" spans="1:13" x14ac:dyDescent="0.3">
      <c r="A471" s="1">
        <v>46002</v>
      </c>
      <c r="B471" t="s">
        <v>27</v>
      </c>
      <c r="C471" t="s">
        <v>23</v>
      </c>
      <c r="D471" t="s">
        <v>33</v>
      </c>
      <c r="E471" t="s">
        <v>25</v>
      </c>
      <c r="F471">
        <v>5</v>
      </c>
      <c r="G471">
        <v>119.99</v>
      </c>
      <c r="H471">
        <v>60</v>
      </c>
      <c r="I471">
        <f t="shared" si="35"/>
        <v>599.94999999999993</v>
      </c>
      <c r="J471">
        <f t="shared" si="36"/>
        <v>300</v>
      </c>
      <c r="K471">
        <f t="shared" si="37"/>
        <v>299.94999999999993</v>
      </c>
      <c r="L471" s="2">
        <f t="shared" si="38"/>
        <v>0.49995832986082167</v>
      </c>
      <c r="M471" t="str">
        <f t="shared" si="39"/>
        <v>Dec-2025</v>
      </c>
    </row>
    <row r="472" spans="1:13" x14ac:dyDescent="0.3">
      <c r="A472" s="1">
        <v>46002</v>
      </c>
      <c r="B472" t="s">
        <v>37</v>
      </c>
      <c r="C472" t="s">
        <v>16</v>
      </c>
      <c r="D472" t="s">
        <v>33</v>
      </c>
      <c r="E472" t="s">
        <v>25</v>
      </c>
      <c r="F472">
        <v>13</v>
      </c>
      <c r="G472">
        <v>119.99</v>
      </c>
      <c r="H472">
        <v>60</v>
      </c>
      <c r="I472">
        <f t="shared" si="35"/>
        <v>1559.87</v>
      </c>
      <c r="J472">
        <f t="shared" si="36"/>
        <v>780</v>
      </c>
      <c r="K472">
        <f t="shared" si="37"/>
        <v>779.86999999999989</v>
      </c>
      <c r="L472" s="2">
        <f t="shared" si="38"/>
        <v>0.49995832986082173</v>
      </c>
      <c r="M472" t="str">
        <f t="shared" si="39"/>
        <v>Dec-2025</v>
      </c>
    </row>
    <row r="473" spans="1:13" x14ac:dyDescent="0.3">
      <c r="A473" s="1">
        <v>46003</v>
      </c>
      <c r="B473" t="s">
        <v>22</v>
      </c>
      <c r="C473" t="s">
        <v>23</v>
      </c>
      <c r="D473" t="s">
        <v>13</v>
      </c>
      <c r="E473" t="s">
        <v>14</v>
      </c>
      <c r="F473">
        <v>26</v>
      </c>
      <c r="G473">
        <v>34.99</v>
      </c>
      <c r="H473">
        <v>14</v>
      </c>
      <c r="I473">
        <f t="shared" si="35"/>
        <v>909.74</v>
      </c>
      <c r="J473">
        <f t="shared" si="36"/>
        <v>364</v>
      </c>
      <c r="K473">
        <f t="shared" si="37"/>
        <v>545.74</v>
      </c>
      <c r="L473" s="2">
        <f t="shared" si="38"/>
        <v>0.5998856816233209</v>
      </c>
      <c r="M473" t="str">
        <f t="shared" si="39"/>
        <v>Dec-2025</v>
      </c>
    </row>
    <row r="474" spans="1:13" x14ac:dyDescent="0.3">
      <c r="A474" s="1">
        <v>46003</v>
      </c>
      <c r="B474" t="s">
        <v>22</v>
      </c>
      <c r="C474" t="s">
        <v>23</v>
      </c>
      <c r="D474" t="s">
        <v>30</v>
      </c>
      <c r="E474" t="s">
        <v>21</v>
      </c>
      <c r="F474">
        <v>8</v>
      </c>
      <c r="G474">
        <v>89.99</v>
      </c>
      <c r="H474">
        <v>42</v>
      </c>
      <c r="I474">
        <f t="shared" si="35"/>
        <v>719.92</v>
      </c>
      <c r="J474">
        <f t="shared" si="36"/>
        <v>336</v>
      </c>
      <c r="K474">
        <f t="shared" si="37"/>
        <v>383.91999999999996</v>
      </c>
      <c r="L474" s="2">
        <f t="shared" si="38"/>
        <v>0.53328147571952433</v>
      </c>
      <c r="M474" t="str">
        <f t="shared" si="39"/>
        <v>Dec-2025</v>
      </c>
    </row>
    <row r="475" spans="1:13" x14ac:dyDescent="0.3">
      <c r="A475" s="1">
        <v>46003</v>
      </c>
      <c r="B475" t="s">
        <v>18</v>
      </c>
      <c r="C475" t="s">
        <v>19</v>
      </c>
      <c r="D475" t="s">
        <v>28</v>
      </c>
      <c r="E475" t="s">
        <v>21</v>
      </c>
      <c r="F475">
        <v>24</v>
      </c>
      <c r="G475">
        <v>79.989999999999995</v>
      </c>
      <c r="H475">
        <v>40</v>
      </c>
      <c r="I475">
        <f t="shared" si="35"/>
        <v>1919.7599999999998</v>
      </c>
      <c r="J475">
        <f t="shared" si="36"/>
        <v>960</v>
      </c>
      <c r="K475">
        <f t="shared" si="37"/>
        <v>959.75999999999976</v>
      </c>
      <c r="L475" s="2">
        <f t="shared" si="38"/>
        <v>0.49993749218652328</v>
      </c>
      <c r="M475" t="str">
        <f t="shared" si="39"/>
        <v>Dec-2025</v>
      </c>
    </row>
    <row r="476" spans="1:13" x14ac:dyDescent="0.3">
      <c r="A476" s="1">
        <v>46003</v>
      </c>
      <c r="B476" t="s">
        <v>22</v>
      </c>
      <c r="C476" t="s">
        <v>23</v>
      </c>
      <c r="D476" t="s">
        <v>34</v>
      </c>
      <c r="E476" t="s">
        <v>11</v>
      </c>
      <c r="F476">
        <v>4</v>
      </c>
      <c r="G476">
        <v>299.99</v>
      </c>
      <c r="H476">
        <v>160</v>
      </c>
      <c r="I476">
        <f t="shared" si="35"/>
        <v>1199.96</v>
      </c>
      <c r="J476">
        <f t="shared" si="36"/>
        <v>640</v>
      </c>
      <c r="K476">
        <f t="shared" si="37"/>
        <v>559.96</v>
      </c>
      <c r="L476" s="2">
        <f t="shared" si="38"/>
        <v>0.46664888829627654</v>
      </c>
      <c r="M476" t="str">
        <f t="shared" si="39"/>
        <v>Dec-2025</v>
      </c>
    </row>
    <row r="477" spans="1:13" x14ac:dyDescent="0.3">
      <c r="A477" s="1">
        <v>46003</v>
      </c>
      <c r="B477" t="s">
        <v>18</v>
      </c>
      <c r="C477" t="s">
        <v>19</v>
      </c>
      <c r="D477" t="s">
        <v>26</v>
      </c>
      <c r="E477" t="s">
        <v>25</v>
      </c>
      <c r="F477">
        <v>2</v>
      </c>
      <c r="G477">
        <v>1250</v>
      </c>
      <c r="H477">
        <v>850</v>
      </c>
      <c r="I477">
        <f t="shared" si="35"/>
        <v>2500</v>
      </c>
      <c r="J477">
        <f t="shared" si="36"/>
        <v>1700</v>
      </c>
      <c r="K477">
        <f t="shared" si="37"/>
        <v>800</v>
      </c>
      <c r="L477" s="2">
        <f t="shared" si="38"/>
        <v>0.32</v>
      </c>
      <c r="M477" t="str">
        <f t="shared" si="39"/>
        <v>Dec-2025</v>
      </c>
    </row>
    <row r="478" spans="1:13" x14ac:dyDescent="0.3">
      <c r="A478" s="1">
        <v>46005</v>
      </c>
      <c r="B478" t="s">
        <v>22</v>
      </c>
      <c r="C478" t="s">
        <v>23</v>
      </c>
      <c r="D478" t="s">
        <v>38</v>
      </c>
      <c r="E478" t="s">
        <v>11</v>
      </c>
      <c r="F478">
        <v>4</v>
      </c>
      <c r="G478">
        <v>850</v>
      </c>
      <c r="H478">
        <v>520</v>
      </c>
      <c r="I478">
        <f t="shared" si="35"/>
        <v>3400</v>
      </c>
      <c r="J478">
        <f t="shared" si="36"/>
        <v>2080</v>
      </c>
      <c r="K478">
        <f t="shared" si="37"/>
        <v>1320</v>
      </c>
      <c r="L478" s="2">
        <f t="shared" si="38"/>
        <v>0.38823529411764707</v>
      </c>
      <c r="M478" t="str">
        <f t="shared" si="39"/>
        <v>Dec-2025</v>
      </c>
    </row>
    <row r="479" spans="1:13" x14ac:dyDescent="0.3">
      <c r="A479" s="1">
        <v>46006</v>
      </c>
      <c r="B479" t="s">
        <v>15</v>
      </c>
      <c r="C479" t="s">
        <v>16</v>
      </c>
      <c r="D479" t="s">
        <v>26</v>
      </c>
      <c r="E479" t="s">
        <v>25</v>
      </c>
      <c r="F479">
        <v>3</v>
      </c>
      <c r="G479">
        <v>1250</v>
      </c>
      <c r="H479">
        <v>850</v>
      </c>
      <c r="I479">
        <f t="shared" si="35"/>
        <v>3750</v>
      </c>
      <c r="J479">
        <f t="shared" si="36"/>
        <v>2550</v>
      </c>
      <c r="K479">
        <f t="shared" si="37"/>
        <v>1200</v>
      </c>
      <c r="L479" s="2">
        <f t="shared" si="38"/>
        <v>0.32</v>
      </c>
      <c r="M479" t="str">
        <f t="shared" si="39"/>
        <v>Dec-2025</v>
      </c>
    </row>
    <row r="480" spans="1:13" x14ac:dyDescent="0.3">
      <c r="A480" s="1">
        <v>46006</v>
      </c>
      <c r="B480" t="s">
        <v>27</v>
      </c>
      <c r="C480" t="s">
        <v>23</v>
      </c>
      <c r="D480" t="s">
        <v>28</v>
      </c>
      <c r="E480" t="s">
        <v>21</v>
      </c>
      <c r="F480">
        <v>21</v>
      </c>
      <c r="G480">
        <v>79.989999999999995</v>
      </c>
      <c r="H480">
        <v>40</v>
      </c>
      <c r="I480">
        <f t="shared" si="35"/>
        <v>1679.79</v>
      </c>
      <c r="J480">
        <f t="shared" si="36"/>
        <v>840</v>
      </c>
      <c r="K480">
        <f t="shared" si="37"/>
        <v>839.79</v>
      </c>
      <c r="L480" s="2">
        <f t="shared" si="38"/>
        <v>0.49993749218652328</v>
      </c>
      <c r="M480" t="str">
        <f t="shared" si="39"/>
        <v>Dec-2025</v>
      </c>
    </row>
    <row r="481" spans="1:13" x14ac:dyDescent="0.3">
      <c r="A481" s="1">
        <v>46006</v>
      </c>
      <c r="B481" t="s">
        <v>22</v>
      </c>
      <c r="C481" t="s">
        <v>23</v>
      </c>
      <c r="D481" t="s">
        <v>20</v>
      </c>
      <c r="E481" t="s">
        <v>21</v>
      </c>
      <c r="F481">
        <v>16</v>
      </c>
      <c r="G481">
        <v>24.99</v>
      </c>
      <c r="H481">
        <v>10</v>
      </c>
      <c r="I481">
        <f t="shared" si="35"/>
        <v>399.84</v>
      </c>
      <c r="J481">
        <f t="shared" si="36"/>
        <v>160</v>
      </c>
      <c r="K481">
        <f t="shared" si="37"/>
        <v>239.83999999999997</v>
      </c>
      <c r="L481" s="2">
        <f t="shared" si="38"/>
        <v>0.59983993597438978</v>
      </c>
      <c r="M481" t="str">
        <f t="shared" si="39"/>
        <v>Dec-2025</v>
      </c>
    </row>
    <row r="482" spans="1:13" x14ac:dyDescent="0.3">
      <c r="A482" s="1">
        <v>46006</v>
      </c>
      <c r="B482" t="s">
        <v>27</v>
      </c>
      <c r="C482" t="s">
        <v>23</v>
      </c>
      <c r="D482" t="s">
        <v>38</v>
      </c>
      <c r="E482" t="s">
        <v>11</v>
      </c>
      <c r="F482">
        <v>1</v>
      </c>
      <c r="G482">
        <v>850</v>
      </c>
      <c r="H482">
        <v>520</v>
      </c>
      <c r="I482">
        <f t="shared" si="35"/>
        <v>850</v>
      </c>
      <c r="J482">
        <f t="shared" si="36"/>
        <v>520</v>
      </c>
      <c r="K482">
        <f t="shared" si="37"/>
        <v>330</v>
      </c>
      <c r="L482" s="2">
        <f t="shared" si="38"/>
        <v>0.38823529411764707</v>
      </c>
      <c r="M482" t="str">
        <f t="shared" si="39"/>
        <v>Dec-2025</v>
      </c>
    </row>
    <row r="483" spans="1:13" x14ac:dyDescent="0.3">
      <c r="A483" s="1">
        <v>46006</v>
      </c>
      <c r="B483" t="s">
        <v>27</v>
      </c>
      <c r="C483" t="s">
        <v>23</v>
      </c>
      <c r="D483" t="s">
        <v>36</v>
      </c>
      <c r="E483" t="s">
        <v>25</v>
      </c>
      <c r="F483">
        <v>14</v>
      </c>
      <c r="G483">
        <v>89.99</v>
      </c>
      <c r="H483">
        <v>45</v>
      </c>
      <c r="I483">
        <f t="shared" si="35"/>
        <v>1259.8599999999999</v>
      </c>
      <c r="J483">
        <f t="shared" si="36"/>
        <v>630</v>
      </c>
      <c r="K483">
        <f t="shared" si="37"/>
        <v>629.8599999999999</v>
      </c>
      <c r="L483" s="2">
        <f t="shared" si="38"/>
        <v>0.49994443827091894</v>
      </c>
      <c r="M483" t="str">
        <f t="shared" si="39"/>
        <v>Dec-2025</v>
      </c>
    </row>
    <row r="484" spans="1:13" x14ac:dyDescent="0.3">
      <c r="A484" s="1">
        <v>46007</v>
      </c>
      <c r="B484" t="s">
        <v>31</v>
      </c>
      <c r="C484" t="s">
        <v>32</v>
      </c>
      <c r="D484" t="s">
        <v>29</v>
      </c>
      <c r="E484" t="s">
        <v>14</v>
      </c>
      <c r="F484">
        <v>5</v>
      </c>
      <c r="G484">
        <v>49.99</v>
      </c>
      <c r="H484">
        <v>22</v>
      </c>
      <c r="I484">
        <f t="shared" si="35"/>
        <v>249.95000000000002</v>
      </c>
      <c r="J484">
        <f t="shared" si="36"/>
        <v>110</v>
      </c>
      <c r="K484">
        <f t="shared" si="37"/>
        <v>139.95000000000002</v>
      </c>
      <c r="L484" s="2">
        <f t="shared" si="38"/>
        <v>0.55991198239647932</v>
      </c>
      <c r="M484" t="str">
        <f t="shared" si="39"/>
        <v>Dec-2025</v>
      </c>
    </row>
    <row r="485" spans="1:13" x14ac:dyDescent="0.3">
      <c r="A485" s="1">
        <v>46008</v>
      </c>
      <c r="B485" t="s">
        <v>22</v>
      </c>
      <c r="C485" t="s">
        <v>23</v>
      </c>
      <c r="D485" t="s">
        <v>34</v>
      </c>
      <c r="E485" t="s">
        <v>11</v>
      </c>
      <c r="F485">
        <v>6</v>
      </c>
      <c r="G485">
        <v>299.99</v>
      </c>
      <c r="H485">
        <v>160</v>
      </c>
      <c r="I485">
        <f t="shared" si="35"/>
        <v>1799.94</v>
      </c>
      <c r="J485">
        <f t="shared" si="36"/>
        <v>960</v>
      </c>
      <c r="K485">
        <f t="shared" si="37"/>
        <v>839.94</v>
      </c>
      <c r="L485" s="2">
        <f t="shared" si="38"/>
        <v>0.46664888829627654</v>
      </c>
      <c r="M485" t="str">
        <f t="shared" si="39"/>
        <v>Dec-2025</v>
      </c>
    </row>
    <row r="486" spans="1:13" x14ac:dyDescent="0.3">
      <c r="A486" s="1">
        <v>46009</v>
      </c>
      <c r="B486" t="s">
        <v>12</v>
      </c>
      <c r="C486" t="s">
        <v>9</v>
      </c>
      <c r="D486" t="s">
        <v>36</v>
      </c>
      <c r="E486" t="s">
        <v>25</v>
      </c>
      <c r="F486">
        <v>30</v>
      </c>
      <c r="G486">
        <v>89.99</v>
      </c>
      <c r="H486">
        <v>45</v>
      </c>
      <c r="I486">
        <f t="shared" si="35"/>
        <v>2699.7</v>
      </c>
      <c r="J486">
        <f t="shared" si="36"/>
        <v>1350</v>
      </c>
      <c r="K486">
        <f t="shared" si="37"/>
        <v>1349.6999999999998</v>
      </c>
      <c r="L486" s="2">
        <f t="shared" si="38"/>
        <v>0.49994443827091894</v>
      </c>
      <c r="M486" t="str">
        <f t="shared" si="39"/>
        <v>Dec-2025</v>
      </c>
    </row>
    <row r="487" spans="1:13" x14ac:dyDescent="0.3">
      <c r="A487" s="1">
        <v>46009</v>
      </c>
      <c r="B487" t="s">
        <v>31</v>
      </c>
      <c r="C487" t="s">
        <v>32</v>
      </c>
      <c r="D487" t="s">
        <v>20</v>
      </c>
      <c r="E487" t="s">
        <v>21</v>
      </c>
      <c r="F487">
        <v>22</v>
      </c>
      <c r="G487">
        <v>24.99</v>
      </c>
      <c r="H487">
        <v>10</v>
      </c>
      <c r="I487">
        <f t="shared" si="35"/>
        <v>549.78</v>
      </c>
      <c r="J487">
        <f t="shared" si="36"/>
        <v>220</v>
      </c>
      <c r="K487">
        <f t="shared" si="37"/>
        <v>329.78</v>
      </c>
      <c r="L487" s="2">
        <f t="shared" si="38"/>
        <v>0.59983993597438978</v>
      </c>
      <c r="M487" t="str">
        <f t="shared" si="39"/>
        <v>Dec-2025</v>
      </c>
    </row>
    <row r="488" spans="1:13" x14ac:dyDescent="0.3">
      <c r="A488" s="1">
        <v>46011</v>
      </c>
      <c r="B488" t="s">
        <v>12</v>
      </c>
      <c r="C488" t="s">
        <v>9</v>
      </c>
      <c r="D488" t="s">
        <v>20</v>
      </c>
      <c r="E488" t="s">
        <v>21</v>
      </c>
      <c r="F488">
        <v>18</v>
      </c>
      <c r="G488">
        <v>24.99</v>
      </c>
      <c r="H488">
        <v>10</v>
      </c>
      <c r="I488">
        <f t="shared" si="35"/>
        <v>449.82</v>
      </c>
      <c r="J488">
        <f t="shared" si="36"/>
        <v>180</v>
      </c>
      <c r="K488">
        <f t="shared" si="37"/>
        <v>269.82</v>
      </c>
      <c r="L488" s="2">
        <f t="shared" si="38"/>
        <v>0.59983993597438978</v>
      </c>
      <c r="M488" t="str">
        <f t="shared" si="39"/>
        <v>Dec-2025</v>
      </c>
    </row>
    <row r="489" spans="1:13" x14ac:dyDescent="0.3">
      <c r="A489" s="1">
        <v>46012</v>
      </c>
      <c r="B489" t="s">
        <v>27</v>
      </c>
      <c r="C489" t="s">
        <v>23</v>
      </c>
      <c r="D489" t="s">
        <v>28</v>
      </c>
      <c r="E489" t="s">
        <v>21</v>
      </c>
      <c r="F489">
        <v>33</v>
      </c>
      <c r="G489">
        <v>79.989999999999995</v>
      </c>
      <c r="H489">
        <v>40</v>
      </c>
      <c r="I489">
        <f t="shared" si="35"/>
        <v>2639.6699999999996</v>
      </c>
      <c r="J489">
        <f t="shared" si="36"/>
        <v>1320</v>
      </c>
      <c r="K489">
        <f t="shared" si="37"/>
        <v>1319.6699999999996</v>
      </c>
      <c r="L489" s="2">
        <f t="shared" si="38"/>
        <v>0.49993749218652322</v>
      </c>
      <c r="M489" t="str">
        <f t="shared" si="39"/>
        <v>Dec-2025</v>
      </c>
    </row>
    <row r="490" spans="1:13" x14ac:dyDescent="0.3">
      <c r="A490" s="1">
        <v>46012</v>
      </c>
      <c r="B490" t="s">
        <v>27</v>
      </c>
      <c r="C490" t="s">
        <v>23</v>
      </c>
      <c r="D490" t="s">
        <v>26</v>
      </c>
      <c r="E490" t="s">
        <v>25</v>
      </c>
      <c r="F490">
        <v>4</v>
      </c>
      <c r="G490">
        <v>1250</v>
      </c>
      <c r="H490">
        <v>850</v>
      </c>
      <c r="I490">
        <f t="shared" si="35"/>
        <v>5000</v>
      </c>
      <c r="J490">
        <f t="shared" si="36"/>
        <v>3400</v>
      </c>
      <c r="K490">
        <f t="shared" si="37"/>
        <v>1600</v>
      </c>
      <c r="L490" s="2">
        <f t="shared" si="38"/>
        <v>0.32</v>
      </c>
      <c r="M490" t="str">
        <f t="shared" si="39"/>
        <v>Dec-2025</v>
      </c>
    </row>
    <row r="491" spans="1:13" x14ac:dyDescent="0.3">
      <c r="A491" s="1">
        <v>46014</v>
      </c>
      <c r="B491" t="s">
        <v>31</v>
      </c>
      <c r="C491" t="s">
        <v>32</v>
      </c>
      <c r="D491" t="s">
        <v>28</v>
      </c>
      <c r="E491" t="s">
        <v>21</v>
      </c>
      <c r="F491">
        <v>40</v>
      </c>
      <c r="G491">
        <v>79.989999999999995</v>
      </c>
      <c r="H491">
        <v>40</v>
      </c>
      <c r="I491">
        <f t="shared" si="35"/>
        <v>3199.6</v>
      </c>
      <c r="J491">
        <f t="shared" si="36"/>
        <v>1600</v>
      </c>
      <c r="K491">
        <f t="shared" si="37"/>
        <v>1599.6</v>
      </c>
      <c r="L491" s="2">
        <f t="shared" si="38"/>
        <v>0.49993749218652328</v>
      </c>
      <c r="M491" t="str">
        <f t="shared" si="39"/>
        <v>Dec-2025</v>
      </c>
    </row>
    <row r="492" spans="1:13" x14ac:dyDescent="0.3">
      <c r="A492" s="1">
        <v>46016</v>
      </c>
      <c r="B492" t="s">
        <v>31</v>
      </c>
      <c r="C492" t="s">
        <v>32</v>
      </c>
      <c r="D492" t="s">
        <v>28</v>
      </c>
      <c r="E492" t="s">
        <v>21</v>
      </c>
      <c r="F492">
        <v>39</v>
      </c>
      <c r="G492">
        <v>79.989999999999995</v>
      </c>
      <c r="H492">
        <v>40</v>
      </c>
      <c r="I492">
        <f t="shared" si="35"/>
        <v>3119.6099999999997</v>
      </c>
      <c r="J492">
        <f t="shared" si="36"/>
        <v>1560</v>
      </c>
      <c r="K492">
        <f t="shared" si="37"/>
        <v>1559.6099999999997</v>
      </c>
      <c r="L492" s="2">
        <f t="shared" si="38"/>
        <v>0.49993749218652328</v>
      </c>
      <c r="M492" t="str">
        <f t="shared" si="39"/>
        <v>Dec-2025</v>
      </c>
    </row>
    <row r="493" spans="1:13" x14ac:dyDescent="0.3">
      <c r="A493" s="1">
        <v>46016</v>
      </c>
      <c r="B493" t="s">
        <v>12</v>
      </c>
      <c r="C493" t="s">
        <v>9</v>
      </c>
      <c r="D493" t="s">
        <v>20</v>
      </c>
      <c r="E493" t="s">
        <v>21</v>
      </c>
      <c r="F493">
        <v>16</v>
      </c>
      <c r="G493">
        <v>24.99</v>
      </c>
      <c r="H493">
        <v>10</v>
      </c>
      <c r="I493">
        <f t="shared" si="35"/>
        <v>399.84</v>
      </c>
      <c r="J493">
        <f t="shared" si="36"/>
        <v>160</v>
      </c>
      <c r="K493">
        <f t="shared" si="37"/>
        <v>239.83999999999997</v>
      </c>
      <c r="L493" s="2">
        <f t="shared" si="38"/>
        <v>0.59983993597438978</v>
      </c>
      <c r="M493" t="str">
        <f t="shared" si="39"/>
        <v>Dec-2025</v>
      </c>
    </row>
    <row r="494" spans="1:13" x14ac:dyDescent="0.3">
      <c r="A494" s="1">
        <v>46017</v>
      </c>
      <c r="B494" t="s">
        <v>18</v>
      </c>
      <c r="C494" t="s">
        <v>19</v>
      </c>
      <c r="D494" t="s">
        <v>34</v>
      </c>
      <c r="E494" t="s">
        <v>11</v>
      </c>
      <c r="F494">
        <v>7</v>
      </c>
      <c r="G494">
        <v>299.99</v>
      </c>
      <c r="H494">
        <v>160</v>
      </c>
      <c r="I494">
        <f t="shared" si="35"/>
        <v>2099.9300000000003</v>
      </c>
      <c r="J494">
        <f t="shared" si="36"/>
        <v>1120</v>
      </c>
      <c r="K494">
        <f t="shared" si="37"/>
        <v>979.93000000000029</v>
      </c>
      <c r="L494" s="2">
        <f t="shared" si="38"/>
        <v>0.4666488882962766</v>
      </c>
      <c r="M494" t="str">
        <f t="shared" si="39"/>
        <v>Dec-2025</v>
      </c>
    </row>
    <row r="495" spans="1:13" x14ac:dyDescent="0.3">
      <c r="A495" s="1">
        <v>46017</v>
      </c>
      <c r="B495" t="s">
        <v>12</v>
      </c>
      <c r="C495" t="s">
        <v>9</v>
      </c>
      <c r="D495" t="s">
        <v>36</v>
      </c>
      <c r="E495" t="s">
        <v>25</v>
      </c>
      <c r="F495">
        <v>33</v>
      </c>
      <c r="G495">
        <v>89.99</v>
      </c>
      <c r="H495">
        <v>45</v>
      </c>
      <c r="I495">
        <f t="shared" si="35"/>
        <v>2969.6699999999996</v>
      </c>
      <c r="J495">
        <f t="shared" si="36"/>
        <v>1485</v>
      </c>
      <c r="K495">
        <f t="shared" si="37"/>
        <v>1484.6699999999996</v>
      </c>
      <c r="L495" s="2">
        <f t="shared" si="38"/>
        <v>0.49994443827091894</v>
      </c>
      <c r="M495" t="str">
        <f t="shared" si="39"/>
        <v>Dec-2025</v>
      </c>
    </row>
    <row r="496" spans="1:13" x14ac:dyDescent="0.3">
      <c r="A496" s="1">
        <v>46017</v>
      </c>
      <c r="B496" t="s">
        <v>31</v>
      </c>
      <c r="C496" t="s">
        <v>32</v>
      </c>
      <c r="D496" t="s">
        <v>24</v>
      </c>
      <c r="E496" t="s">
        <v>25</v>
      </c>
      <c r="F496">
        <v>15</v>
      </c>
      <c r="G496">
        <v>29.99</v>
      </c>
      <c r="H496">
        <v>12</v>
      </c>
      <c r="I496">
        <f t="shared" si="35"/>
        <v>449.84999999999997</v>
      </c>
      <c r="J496">
        <f t="shared" si="36"/>
        <v>180</v>
      </c>
      <c r="K496">
        <f t="shared" si="37"/>
        <v>269.84999999999997</v>
      </c>
      <c r="L496" s="2">
        <f t="shared" si="38"/>
        <v>0.59986662220740239</v>
      </c>
      <c r="M496" t="str">
        <f t="shared" si="39"/>
        <v>Dec-2025</v>
      </c>
    </row>
    <row r="497" spans="1:13" x14ac:dyDescent="0.3">
      <c r="A497" s="1">
        <v>46017</v>
      </c>
      <c r="B497" t="s">
        <v>37</v>
      </c>
      <c r="C497" t="s">
        <v>16</v>
      </c>
      <c r="D497" t="s">
        <v>26</v>
      </c>
      <c r="E497" t="s">
        <v>25</v>
      </c>
      <c r="F497">
        <v>1</v>
      </c>
      <c r="G497">
        <v>1250</v>
      </c>
      <c r="H497">
        <v>850</v>
      </c>
      <c r="I497">
        <f t="shared" si="35"/>
        <v>1250</v>
      </c>
      <c r="J497">
        <f t="shared" si="36"/>
        <v>850</v>
      </c>
      <c r="K497">
        <f t="shared" si="37"/>
        <v>400</v>
      </c>
      <c r="L497" s="2">
        <f t="shared" si="38"/>
        <v>0.32</v>
      </c>
      <c r="M497" t="str">
        <f t="shared" si="39"/>
        <v>Dec-2025</v>
      </c>
    </row>
    <row r="498" spans="1:13" x14ac:dyDescent="0.3">
      <c r="A498" s="1">
        <v>46017</v>
      </c>
      <c r="B498" t="s">
        <v>31</v>
      </c>
      <c r="C498" t="s">
        <v>32</v>
      </c>
      <c r="D498" t="s">
        <v>20</v>
      </c>
      <c r="E498" t="s">
        <v>21</v>
      </c>
      <c r="F498">
        <v>10</v>
      </c>
      <c r="G498">
        <v>24.99</v>
      </c>
      <c r="H498">
        <v>10</v>
      </c>
      <c r="I498">
        <f t="shared" si="35"/>
        <v>249.89999999999998</v>
      </c>
      <c r="J498">
        <f t="shared" si="36"/>
        <v>100</v>
      </c>
      <c r="K498">
        <f t="shared" si="37"/>
        <v>149.89999999999998</v>
      </c>
      <c r="L498" s="2">
        <f t="shared" si="38"/>
        <v>0.59983993597438967</v>
      </c>
      <c r="M498" t="str">
        <f t="shared" si="39"/>
        <v>Dec-2025</v>
      </c>
    </row>
    <row r="499" spans="1:13" x14ac:dyDescent="0.3">
      <c r="A499" s="1">
        <v>46021</v>
      </c>
      <c r="B499" t="s">
        <v>37</v>
      </c>
      <c r="C499" t="s">
        <v>16</v>
      </c>
      <c r="D499" t="s">
        <v>36</v>
      </c>
      <c r="E499" t="s">
        <v>25</v>
      </c>
      <c r="F499">
        <v>19</v>
      </c>
      <c r="G499">
        <v>89.99</v>
      </c>
      <c r="H499">
        <v>45</v>
      </c>
      <c r="I499">
        <f t="shared" si="35"/>
        <v>1709.81</v>
      </c>
      <c r="J499">
        <f t="shared" si="36"/>
        <v>855</v>
      </c>
      <c r="K499">
        <f t="shared" si="37"/>
        <v>854.81</v>
      </c>
      <c r="L499" s="2">
        <f t="shared" si="38"/>
        <v>0.499944438270919</v>
      </c>
      <c r="M499" t="str">
        <f t="shared" si="39"/>
        <v>Dec-2025</v>
      </c>
    </row>
    <row r="500" spans="1:13" x14ac:dyDescent="0.3">
      <c r="A500" s="1">
        <v>46022</v>
      </c>
      <c r="B500" t="s">
        <v>15</v>
      </c>
      <c r="C500" t="s">
        <v>16</v>
      </c>
      <c r="D500" t="s">
        <v>30</v>
      </c>
      <c r="E500" t="s">
        <v>21</v>
      </c>
      <c r="F500">
        <v>36</v>
      </c>
      <c r="G500">
        <v>89.99</v>
      </c>
      <c r="H500">
        <v>42</v>
      </c>
      <c r="I500">
        <f t="shared" si="35"/>
        <v>3239.64</v>
      </c>
      <c r="J500">
        <f t="shared" si="36"/>
        <v>1512</v>
      </c>
      <c r="K500">
        <f t="shared" si="37"/>
        <v>1727.6399999999999</v>
      </c>
      <c r="L500" s="2">
        <f t="shared" si="38"/>
        <v>0.53328147571952433</v>
      </c>
      <c r="M500" t="str">
        <f t="shared" si="39"/>
        <v>Dec-2025</v>
      </c>
    </row>
    <row r="501" spans="1:13" x14ac:dyDescent="0.3">
      <c r="A501" s="1">
        <v>46022</v>
      </c>
      <c r="B501" t="s">
        <v>31</v>
      </c>
      <c r="C501" t="s">
        <v>32</v>
      </c>
      <c r="D501" t="s">
        <v>24</v>
      </c>
      <c r="E501" t="s">
        <v>25</v>
      </c>
      <c r="F501">
        <v>15</v>
      </c>
      <c r="G501">
        <v>29.99</v>
      </c>
      <c r="H501">
        <v>12</v>
      </c>
      <c r="I501">
        <f t="shared" si="35"/>
        <v>449.84999999999997</v>
      </c>
      <c r="J501">
        <f t="shared" si="36"/>
        <v>180</v>
      </c>
      <c r="K501">
        <f t="shared" si="37"/>
        <v>269.84999999999997</v>
      </c>
      <c r="L501" s="2">
        <f t="shared" si="38"/>
        <v>0.59986662220740239</v>
      </c>
      <c r="M501" t="str">
        <f t="shared" si="39"/>
        <v>Dec-2025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sales</vt:lpstr>
      <vt:lpstr>Top products</vt:lpstr>
      <vt:lpstr>Top Region</vt:lpstr>
      <vt:lpstr>Sales Dashboard</vt:lpstr>
      <vt:lpstr>Monthly Profit Analysis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B</dc:creator>
  <cp:lastModifiedBy>Ranjith B</cp:lastModifiedBy>
  <dcterms:created xsi:type="dcterms:W3CDTF">2026-08-18T10:43:43Z</dcterms:created>
  <dcterms:modified xsi:type="dcterms:W3CDTF">2026-08-20T06:56:05Z</dcterms:modified>
</cp:coreProperties>
</file>